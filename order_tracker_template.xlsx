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cas\OneDrive\personel project\Plastica Casa\"/>
    </mc:Choice>
  </mc:AlternateContent>
  <xr:revisionPtr revIDLastSave="0" documentId="13_ncr:1_{9184911E-9D76-4B17-904E-EA3CD10891C2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Dashboard" sheetId="1" r:id="rId1"/>
    <sheet name="Orders Log" sheetId="2" r:id="rId2"/>
    <sheet name="Products &amp; Costs" sheetId="3" r:id="rId3"/>
    <sheet name="How To Use" sheetId="4" r:id="rId4"/>
  </sheets>
  <definedNames>
    <definedName name="_xlnm._FilterDatabase" localSheetId="1" hidden="1">'Orders Log'!$A$4:$N$100</definedName>
    <definedName name="PlatformNames">PlatformList[Platforms]</definedName>
    <definedName name="ProductList">ProductTable[Product Name]</definedName>
    <definedName name="VariantList">ProductTable[Variant/Color]</definedName>
  </definedNames>
  <calcPr calcId="191029" iterateDelta="1E-4"/>
  <pivotCaches>
    <pivotCache cacheId="2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L13" i="2" s="1"/>
  <c r="I14" i="2"/>
  <c r="L14" i="2" s="1"/>
  <c r="I15" i="2"/>
  <c r="L15" i="2" s="1"/>
  <c r="I16" i="2"/>
  <c r="L16" i="2" s="1"/>
  <c r="L5" i="2"/>
  <c r="K12" i="1"/>
  <c r="F12" i="1"/>
  <c r="A17" i="2"/>
  <c r="I17" i="2"/>
  <c r="L17" i="2" s="1"/>
  <c r="J17" i="2"/>
  <c r="A12" i="1"/>
  <c r="A6" i="1"/>
  <c r="J6" i="2"/>
  <c r="J7" i="2"/>
  <c r="J8" i="2"/>
  <c r="J9" i="2"/>
  <c r="J10" i="2"/>
  <c r="J11" i="2"/>
  <c r="J12" i="2"/>
  <c r="J13" i="2"/>
  <c r="J14" i="2"/>
  <c r="J15" i="2"/>
  <c r="J16" i="2"/>
  <c r="J5" i="2"/>
  <c r="G100" i="2"/>
  <c r="K100" i="2"/>
  <c r="A35" i="2"/>
  <c r="I35" i="2"/>
  <c r="L35" i="2" s="1"/>
  <c r="J35" i="2"/>
  <c r="A36" i="2"/>
  <c r="I36" i="2"/>
  <c r="L36" i="2" s="1"/>
  <c r="J36" i="2"/>
  <c r="A37" i="2"/>
  <c r="I37" i="2"/>
  <c r="L37" i="2" s="1"/>
  <c r="J37" i="2"/>
  <c r="A38" i="2"/>
  <c r="I38" i="2"/>
  <c r="L38" i="2" s="1"/>
  <c r="J38" i="2"/>
  <c r="A39" i="2"/>
  <c r="I39" i="2"/>
  <c r="L39" i="2" s="1"/>
  <c r="J39" i="2"/>
  <c r="A40" i="2"/>
  <c r="I40" i="2"/>
  <c r="L40" i="2" s="1"/>
  <c r="J40" i="2"/>
  <c r="A41" i="2"/>
  <c r="I41" i="2"/>
  <c r="L41" i="2" s="1"/>
  <c r="J41" i="2"/>
  <c r="A42" i="2"/>
  <c r="I42" i="2"/>
  <c r="L42" i="2" s="1"/>
  <c r="J42" i="2"/>
  <c r="A43" i="2"/>
  <c r="I43" i="2"/>
  <c r="L43" i="2" s="1"/>
  <c r="J43" i="2"/>
  <c r="A44" i="2"/>
  <c r="I44" i="2"/>
  <c r="L44" i="2" s="1"/>
  <c r="J44" i="2"/>
  <c r="A45" i="2"/>
  <c r="I45" i="2"/>
  <c r="L45" i="2" s="1"/>
  <c r="J45" i="2"/>
  <c r="A46" i="2"/>
  <c r="I46" i="2"/>
  <c r="L46" i="2" s="1"/>
  <c r="J46" i="2"/>
  <c r="A47" i="2"/>
  <c r="I47" i="2"/>
  <c r="L47" i="2" s="1"/>
  <c r="J47" i="2"/>
  <c r="A48" i="2"/>
  <c r="I48" i="2"/>
  <c r="L48" i="2" s="1"/>
  <c r="J48" i="2"/>
  <c r="A49" i="2"/>
  <c r="I49" i="2"/>
  <c r="L49" i="2" s="1"/>
  <c r="J49" i="2"/>
  <c r="A50" i="2"/>
  <c r="I50" i="2"/>
  <c r="L50" i="2" s="1"/>
  <c r="J50" i="2"/>
  <c r="A51" i="2"/>
  <c r="I51" i="2"/>
  <c r="L51" i="2" s="1"/>
  <c r="J51" i="2"/>
  <c r="A52" i="2"/>
  <c r="I52" i="2"/>
  <c r="L52" i="2" s="1"/>
  <c r="J52" i="2"/>
  <c r="A53" i="2"/>
  <c r="I53" i="2"/>
  <c r="L53" i="2" s="1"/>
  <c r="J53" i="2"/>
  <c r="A54" i="2"/>
  <c r="I54" i="2"/>
  <c r="L54" i="2" s="1"/>
  <c r="J54" i="2"/>
  <c r="A55" i="2"/>
  <c r="I55" i="2"/>
  <c r="L55" i="2" s="1"/>
  <c r="J55" i="2"/>
  <c r="A56" i="2"/>
  <c r="I56" i="2"/>
  <c r="L56" i="2" s="1"/>
  <c r="J56" i="2"/>
  <c r="A57" i="2"/>
  <c r="I57" i="2"/>
  <c r="L57" i="2" s="1"/>
  <c r="J57" i="2"/>
  <c r="A58" i="2"/>
  <c r="I58" i="2"/>
  <c r="L58" i="2" s="1"/>
  <c r="J58" i="2"/>
  <c r="A59" i="2"/>
  <c r="I59" i="2"/>
  <c r="L59" i="2" s="1"/>
  <c r="J59" i="2"/>
  <c r="A60" i="2"/>
  <c r="I60" i="2"/>
  <c r="L60" i="2" s="1"/>
  <c r="J60" i="2"/>
  <c r="A61" i="2"/>
  <c r="I61" i="2"/>
  <c r="L61" i="2" s="1"/>
  <c r="J61" i="2"/>
  <c r="A62" i="2"/>
  <c r="I62" i="2"/>
  <c r="L62" i="2" s="1"/>
  <c r="J62" i="2"/>
  <c r="A63" i="2"/>
  <c r="I63" i="2"/>
  <c r="L63" i="2" s="1"/>
  <c r="J63" i="2"/>
  <c r="A64" i="2"/>
  <c r="I64" i="2"/>
  <c r="L64" i="2" s="1"/>
  <c r="J64" i="2"/>
  <c r="A65" i="2"/>
  <c r="I65" i="2"/>
  <c r="L65" i="2" s="1"/>
  <c r="J65" i="2"/>
  <c r="A66" i="2"/>
  <c r="I66" i="2"/>
  <c r="L66" i="2" s="1"/>
  <c r="J66" i="2"/>
  <c r="A67" i="2"/>
  <c r="I67" i="2"/>
  <c r="L67" i="2" s="1"/>
  <c r="J67" i="2"/>
  <c r="A68" i="2"/>
  <c r="I68" i="2"/>
  <c r="L68" i="2" s="1"/>
  <c r="J68" i="2"/>
  <c r="A69" i="2"/>
  <c r="I69" i="2"/>
  <c r="L69" i="2" s="1"/>
  <c r="J69" i="2"/>
  <c r="A70" i="2"/>
  <c r="I70" i="2"/>
  <c r="L70" i="2" s="1"/>
  <c r="J70" i="2"/>
  <c r="A71" i="2"/>
  <c r="I71" i="2"/>
  <c r="L71" i="2" s="1"/>
  <c r="J71" i="2"/>
  <c r="A72" i="2"/>
  <c r="I72" i="2"/>
  <c r="L72" i="2" s="1"/>
  <c r="J72" i="2"/>
  <c r="A73" i="2"/>
  <c r="I73" i="2"/>
  <c r="L73" i="2" s="1"/>
  <c r="J73" i="2"/>
  <c r="A74" i="2"/>
  <c r="I74" i="2"/>
  <c r="L74" i="2" s="1"/>
  <c r="J74" i="2"/>
  <c r="A75" i="2"/>
  <c r="I75" i="2"/>
  <c r="L75" i="2" s="1"/>
  <c r="J75" i="2"/>
  <c r="A76" i="2"/>
  <c r="I76" i="2"/>
  <c r="L76" i="2" s="1"/>
  <c r="J76" i="2"/>
  <c r="A77" i="2"/>
  <c r="I77" i="2"/>
  <c r="L77" i="2" s="1"/>
  <c r="J77" i="2"/>
  <c r="A78" i="2"/>
  <c r="I78" i="2"/>
  <c r="L78" i="2" s="1"/>
  <c r="J78" i="2"/>
  <c r="A79" i="2"/>
  <c r="I79" i="2"/>
  <c r="L79" i="2" s="1"/>
  <c r="J79" i="2"/>
  <c r="A80" i="2"/>
  <c r="I80" i="2"/>
  <c r="L80" i="2" s="1"/>
  <c r="J80" i="2"/>
  <c r="A81" i="2"/>
  <c r="I81" i="2"/>
  <c r="L81" i="2" s="1"/>
  <c r="J81" i="2"/>
  <c r="A82" i="2"/>
  <c r="I82" i="2"/>
  <c r="L82" i="2" s="1"/>
  <c r="J82" i="2"/>
  <c r="A83" i="2"/>
  <c r="I83" i="2"/>
  <c r="L83" i="2" s="1"/>
  <c r="J83" i="2"/>
  <c r="A84" i="2"/>
  <c r="I84" i="2"/>
  <c r="L84" i="2" s="1"/>
  <c r="J84" i="2"/>
  <c r="A85" i="2"/>
  <c r="I85" i="2"/>
  <c r="L85" i="2" s="1"/>
  <c r="J85" i="2"/>
  <c r="A86" i="2"/>
  <c r="I86" i="2"/>
  <c r="L86" i="2" s="1"/>
  <c r="J86" i="2"/>
  <c r="A87" i="2"/>
  <c r="I87" i="2"/>
  <c r="L87" i="2" s="1"/>
  <c r="J87" i="2"/>
  <c r="A88" i="2"/>
  <c r="I88" i="2"/>
  <c r="L88" i="2" s="1"/>
  <c r="J88" i="2"/>
  <c r="A89" i="2"/>
  <c r="I89" i="2"/>
  <c r="L89" i="2" s="1"/>
  <c r="J89" i="2"/>
  <c r="A90" i="2"/>
  <c r="I90" i="2"/>
  <c r="L90" i="2" s="1"/>
  <c r="J90" i="2"/>
  <c r="A91" i="2"/>
  <c r="I91" i="2"/>
  <c r="L91" i="2" s="1"/>
  <c r="J91" i="2"/>
  <c r="A92" i="2"/>
  <c r="I92" i="2"/>
  <c r="L92" i="2" s="1"/>
  <c r="J92" i="2"/>
  <c r="A93" i="2"/>
  <c r="I93" i="2"/>
  <c r="L93" i="2" s="1"/>
  <c r="J93" i="2"/>
  <c r="A94" i="2"/>
  <c r="I94" i="2"/>
  <c r="L94" i="2" s="1"/>
  <c r="J94" i="2"/>
  <c r="A95" i="2"/>
  <c r="I95" i="2"/>
  <c r="L95" i="2" s="1"/>
  <c r="J95" i="2"/>
  <c r="A96" i="2"/>
  <c r="I96" i="2"/>
  <c r="L96" i="2" s="1"/>
  <c r="J96" i="2"/>
  <c r="A97" i="2"/>
  <c r="I97" i="2"/>
  <c r="L97" i="2" s="1"/>
  <c r="J97" i="2"/>
  <c r="A98" i="2"/>
  <c r="I98" i="2"/>
  <c r="L98" i="2" s="1"/>
  <c r="J98" i="2"/>
  <c r="A99" i="2"/>
  <c r="I99" i="2"/>
  <c r="L99" i="2" s="1"/>
  <c r="J99" i="2"/>
  <c r="I18" i="2"/>
  <c r="L18" i="2" s="1"/>
  <c r="J18" i="2"/>
  <c r="I19" i="2"/>
  <c r="L19" i="2" s="1"/>
  <c r="J19" i="2"/>
  <c r="I20" i="2"/>
  <c r="L20" i="2" s="1"/>
  <c r="J20" i="2"/>
  <c r="I21" i="2"/>
  <c r="L21" i="2" s="1"/>
  <c r="J21" i="2"/>
  <c r="I22" i="2"/>
  <c r="L22" i="2" s="1"/>
  <c r="M22" i="2" s="1"/>
  <c r="N22" i="2" s="1"/>
  <c r="J22" i="2"/>
  <c r="I23" i="2"/>
  <c r="L23" i="2" s="1"/>
  <c r="J23" i="2"/>
  <c r="I24" i="2"/>
  <c r="L24" i="2" s="1"/>
  <c r="J24" i="2"/>
  <c r="I25" i="2"/>
  <c r="L25" i="2" s="1"/>
  <c r="J25" i="2"/>
  <c r="I26" i="2"/>
  <c r="L26" i="2" s="1"/>
  <c r="J26" i="2"/>
  <c r="I27" i="2"/>
  <c r="L27" i="2" s="1"/>
  <c r="J27" i="2"/>
  <c r="I28" i="2"/>
  <c r="L28" i="2" s="1"/>
  <c r="J28" i="2"/>
  <c r="I29" i="2"/>
  <c r="L29" i="2" s="1"/>
  <c r="J29" i="2"/>
  <c r="I30" i="2"/>
  <c r="L30" i="2" s="1"/>
  <c r="J30" i="2"/>
  <c r="I31" i="2"/>
  <c r="L31" i="2" s="1"/>
  <c r="J31" i="2"/>
  <c r="I32" i="2"/>
  <c r="L32" i="2" s="1"/>
  <c r="J32" i="2"/>
  <c r="I33" i="2"/>
  <c r="L33" i="2" s="1"/>
  <c r="J33" i="2"/>
  <c r="I34" i="2"/>
  <c r="L34" i="2" s="1"/>
  <c r="M34" i="2" s="1"/>
  <c r="N34" i="2" s="1"/>
  <c r="J34" i="2"/>
  <c r="A15" i="2"/>
  <c r="A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14" i="2"/>
  <c r="A13" i="2"/>
  <c r="A12" i="2"/>
  <c r="L11" i="2"/>
  <c r="A11" i="2"/>
  <c r="L10" i="2"/>
  <c r="A10" i="2"/>
  <c r="L9" i="2"/>
  <c r="A9" i="2"/>
  <c r="L8" i="2"/>
  <c r="A8" i="2"/>
  <c r="L7" i="2"/>
  <c r="A7" i="2"/>
  <c r="L6" i="2"/>
  <c r="A6" i="2"/>
  <c r="A5" i="2"/>
  <c r="F6" i="1" l="1"/>
  <c r="M17" i="2"/>
  <c r="N17" i="2" s="1"/>
  <c r="M19" i="2"/>
  <c r="N19" i="2" s="1"/>
  <c r="I100" i="2"/>
  <c r="J100" i="2"/>
  <c r="M96" i="2"/>
  <c r="N96" i="2" s="1"/>
  <c r="M92" i="2"/>
  <c r="N92" i="2" s="1"/>
  <c r="M88" i="2"/>
  <c r="N88" i="2" s="1"/>
  <c r="M84" i="2"/>
  <c r="N84" i="2" s="1"/>
  <c r="M80" i="2"/>
  <c r="N80" i="2" s="1"/>
  <c r="M76" i="2"/>
  <c r="N76" i="2" s="1"/>
  <c r="M72" i="2"/>
  <c r="N72" i="2" s="1"/>
  <c r="M68" i="2"/>
  <c r="N68" i="2" s="1"/>
  <c r="M64" i="2"/>
  <c r="N64" i="2" s="1"/>
  <c r="M60" i="2"/>
  <c r="N60" i="2" s="1"/>
  <c r="M56" i="2"/>
  <c r="N56" i="2" s="1"/>
  <c r="M52" i="2"/>
  <c r="N52" i="2" s="1"/>
  <c r="M48" i="2"/>
  <c r="N48" i="2" s="1"/>
  <c r="M44" i="2"/>
  <c r="N44" i="2" s="1"/>
  <c r="M40" i="2"/>
  <c r="N40" i="2" s="1"/>
  <c r="M36" i="2"/>
  <c r="N36" i="2" s="1"/>
  <c r="M18" i="2"/>
  <c r="M99" i="2"/>
  <c r="N99" i="2" s="1"/>
  <c r="M91" i="2"/>
  <c r="N91" i="2" s="1"/>
  <c r="M83" i="2"/>
  <c r="N83" i="2" s="1"/>
  <c r="M75" i="2"/>
  <c r="N75" i="2" s="1"/>
  <c r="M71" i="2"/>
  <c r="N71" i="2" s="1"/>
  <c r="M67" i="2"/>
  <c r="N67" i="2" s="1"/>
  <c r="M63" i="2"/>
  <c r="N63" i="2" s="1"/>
  <c r="M55" i="2"/>
  <c r="N55" i="2" s="1"/>
  <c r="M51" i="2"/>
  <c r="N51" i="2" s="1"/>
  <c r="M47" i="2"/>
  <c r="N47" i="2" s="1"/>
  <c r="M43" i="2"/>
  <c r="N43" i="2" s="1"/>
  <c r="M39" i="2"/>
  <c r="N39" i="2" s="1"/>
  <c r="M35" i="2"/>
  <c r="N35" i="2" s="1"/>
  <c r="M23" i="2"/>
  <c r="N23" i="2" s="1"/>
  <c r="M95" i="2"/>
  <c r="N95" i="2" s="1"/>
  <c r="M87" i="2"/>
  <c r="N87" i="2" s="1"/>
  <c r="M79" i="2"/>
  <c r="N79" i="2" s="1"/>
  <c r="M59" i="2"/>
  <c r="N59" i="2" s="1"/>
  <c r="M98" i="2"/>
  <c r="N98" i="2" s="1"/>
  <c r="M90" i="2"/>
  <c r="N90" i="2" s="1"/>
  <c r="M86" i="2"/>
  <c r="N86" i="2" s="1"/>
  <c r="M78" i="2"/>
  <c r="N78" i="2" s="1"/>
  <c r="M74" i="2"/>
  <c r="N74" i="2" s="1"/>
  <c r="M70" i="2"/>
  <c r="N70" i="2" s="1"/>
  <c r="M66" i="2"/>
  <c r="N66" i="2" s="1"/>
  <c r="M62" i="2"/>
  <c r="N62" i="2" s="1"/>
  <c r="M58" i="2"/>
  <c r="N58" i="2" s="1"/>
  <c r="M54" i="2"/>
  <c r="N54" i="2" s="1"/>
  <c r="M50" i="2"/>
  <c r="N50" i="2" s="1"/>
  <c r="M46" i="2"/>
  <c r="N46" i="2" s="1"/>
  <c r="M42" i="2"/>
  <c r="N42" i="2" s="1"/>
  <c r="M38" i="2"/>
  <c r="N38" i="2" s="1"/>
  <c r="M94" i="2"/>
  <c r="N94" i="2" s="1"/>
  <c r="M82" i="2"/>
  <c r="N82" i="2" s="1"/>
  <c r="M27" i="2"/>
  <c r="N27" i="2" s="1"/>
  <c r="M21" i="2"/>
  <c r="N21" i="2" s="1"/>
  <c r="M20" i="2"/>
  <c r="N20" i="2" s="1"/>
  <c r="M97" i="2"/>
  <c r="N97" i="2" s="1"/>
  <c r="M93" i="2"/>
  <c r="N93" i="2" s="1"/>
  <c r="M89" i="2"/>
  <c r="N89" i="2" s="1"/>
  <c r="M85" i="2"/>
  <c r="N85" i="2" s="1"/>
  <c r="M81" i="2"/>
  <c r="N81" i="2" s="1"/>
  <c r="M77" i="2"/>
  <c r="N77" i="2" s="1"/>
  <c r="M73" i="2"/>
  <c r="N73" i="2" s="1"/>
  <c r="M69" i="2"/>
  <c r="N69" i="2" s="1"/>
  <c r="M65" i="2"/>
  <c r="N65" i="2" s="1"/>
  <c r="M61" i="2"/>
  <c r="N61" i="2" s="1"/>
  <c r="M57" i="2"/>
  <c r="N57" i="2" s="1"/>
  <c r="M53" i="2"/>
  <c r="N53" i="2" s="1"/>
  <c r="M49" i="2"/>
  <c r="N49" i="2" s="1"/>
  <c r="M45" i="2"/>
  <c r="N45" i="2" s="1"/>
  <c r="M41" i="2"/>
  <c r="N41" i="2" s="1"/>
  <c r="M37" i="2"/>
  <c r="N37" i="2" s="1"/>
  <c r="M30" i="2"/>
  <c r="N30" i="2" s="1"/>
  <c r="M26" i="2"/>
  <c r="N26" i="2" s="1"/>
  <c r="M25" i="2"/>
  <c r="N25" i="2" s="1"/>
  <c r="M29" i="2"/>
  <c r="N29" i="2" s="1"/>
  <c r="M24" i="2"/>
  <c r="N24" i="2" s="1"/>
  <c r="M33" i="2"/>
  <c r="N33" i="2" s="1"/>
  <c r="M28" i="2"/>
  <c r="N28" i="2" s="1"/>
  <c r="M32" i="2"/>
  <c r="N32" i="2" s="1"/>
  <c r="M31" i="2"/>
  <c r="N31" i="2" s="1"/>
  <c r="N18" i="2"/>
  <c r="M10" i="2"/>
  <c r="N10" i="2" s="1"/>
  <c r="M6" i="2"/>
  <c r="M15" i="2"/>
  <c r="M8" i="2"/>
  <c r="N8" i="2" s="1"/>
  <c r="M9" i="2"/>
  <c r="N9" i="2" s="1"/>
  <c r="M13" i="2"/>
  <c r="N13" i="2" s="1"/>
  <c r="M16" i="2"/>
  <c r="M14" i="2"/>
  <c r="N14" i="2" s="1"/>
  <c r="M7" i="2"/>
  <c r="N7" i="2" s="1"/>
  <c r="M11" i="2"/>
  <c r="M5" i="2"/>
  <c r="L12" i="2"/>
  <c r="M12" i="2" s="1"/>
  <c r="K6" i="1" l="1"/>
  <c r="N6" i="2"/>
  <c r="M100" i="2"/>
  <c r="L100" i="2"/>
  <c r="N15" i="2"/>
  <c r="N16" i="2"/>
  <c r="N11" i="2"/>
  <c r="N5" i="2"/>
  <c r="N12" i="2"/>
</calcChain>
</file>

<file path=xl/sharedStrings.xml><?xml version="1.0" encoding="utf-8"?>
<sst xmlns="http://schemas.openxmlformats.org/spreadsheetml/2006/main" count="135" uniqueCount="114">
  <si>
    <t>📊  Business Dashboard  —  Auto-updates when you add orders</t>
  </si>
  <si>
    <t>Last updated: 19 April 2026  |  Currency: IDR</t>
  </si>
  <si>
    <t>💰 Total Revenue</t>
  </si>
  <si>
    <t>💸 Total Costs</t>
  </si>
  <si>
    <t>✅ Net Profit</t>
  </si>
  <si>
    <t>📦 Total Orders</t>
  </si>
  <si>
    <t>🛍 Tokopedia Orders</t>
  </si>
  <si>
    <t>🛒 Shopee Orders</t>
  </si>
  <si>
    <t>Platform</t>
  </si>
  <si>
    <t>Revenue (IDR)</t>
  </si>
  <si>
    <t>Net Profit (IDR)</t>
  </si>
  <si>
    <t>Tokopedia</t>
  </si>
  <si>
    <t>Bangku Anak 01</t>
  </si>
  <si>
    <t>Shopee</t>
  </si>
  <si>
    <t>Galon Mover</t>
  </si>
  <si>
    <t>🛒  Orders Log  —  Enter new orders below. Costs &amp; profits calculate automatically.</t>
  </si>
  <si>
    <t>Blue = fill in manually  |  Black = auto-calculated  |  Do NOT edit formula columns</t>
  </si>
  <si>
    <t>ORDER INFO</t>
  </si>
  <si>
    <t>PRODUCT</t>
  </si>
  <si>
    <t>REVENUE</t>
  </si>
  <si>
    <t>COSTS</t>
  </si>
  <si>
    <t>PROFIT</t>
  </si>
  <si>
    <t>No</t>
  </si>
  <si>
    <t>Date</t>
  </si>
  <si>
    <t>Resi / Order ID</t>
  </si>
  <si>
    <t>Product Name</t>
  </si>
  <si>
    <t>Variant</t>
  </si>
  <si>
    <t>Qty</t>
  </si>
  <si>
    <t>Production Cost</t>
  </si>
  <si>
    <t>Platform Fee (IDR)</t>
  </si>
  <si>
    <t>Other Costs</t>
  </si>
  <si>
    <t>Gross Profit</t>
  </si>
  <si>
    <t>Net Profit</t>
  </si>
  <si>
    <t>Status</t>
  </si>
  <si>
    <t>-</t>
  </si>
  <si>
    <t>Hijau</t>
  </si>
  <si>
    <t>Biru</t>
  </si>
  <si>
    <t>TOTALS</t>
  </si>
  <si>
    <t>📦  Products &amp; Costs Reference</t>
  </si>
  <si>
    <t>Variant/Color</t>
  </si>
  <si>
    <t>Production Cost (IDR)</t>
  </si>
  <si>
    <t>Notes</t>
  </si>
  <si>
    <t>Kursi anak plastik</t>
  </si>
  <si>
    <t>Pink</t>
  </si>
  <si>
    <t>Merah</t>
  </si>
  <si>
    <t>Alas galon beroda</t>
  </si>
  <si>
    <t>COLOR LEGEND:</t>
  </si>
  <si>
    <t>Blue text = Input cells (edit freely)</t>
  </si>
  <si>
    <t>Black text = Formulas (do not edit)</t>
  </si>
  <si>
    <t>Green text = Links from other sheets</t>
  </si>
  <si>
    <t>📖  How To Use This Tracker</t>
  </si>
  <si>
    <t>STEP 1 — Set up your products</t>
  </si>
  <si>
    <t>Go to the 'Products &amp; Costs' sheet.</t>
  </si>
  <si>
    <t>Add your product names, variants, and production costs per unit (in IDR).</t>
  </si>
  <si>
    <t>Set the platform fee % for Tokopedia and Shopee. Default is 5% and 3.5%.</t>
  </si>
  <si>
    <t>STEP 2 — Log new orders</t>
  </si>
  <si>
    <t>Go to 'Orders Log' and fill in the BLUE columns only:</t>
  </si>
  <si>
    <t xml:space="preserve">  • Date — the order date</t>
  </si>
  <si>
    <t xml:space="preserve">  • Resi / Order ID — from your platform</t>
  </si>
  <si>
    <t xml:space="preserve">  • Other Costs — any extra costs (packaging, etc.)</t>
  </si>
  <si>
    <t>STEP 3 — Let the formulas do the work</t>
  </si>
  <si>
    <t>Platform Fee is auto-calculated based on platform and product.</t>
  </si>
  <si>
    <t>STEP 4 — View your Dashboard</t>
  </si>
  <si>
    <t>Go to the 'Dashboard' sheet to see:</t>
  </si>
  <si>
    <t xml:space="preserve">  • KPI cards: Total Revenue, Costs, Profit, Orders</t>
  </si>
  <si>
    <t xml:space="preserve">  • Top products by revenue</t>
  </si>
  <si>
    <t>COLOR LEGEND</t>
  </si>
  <si>
    <t>To add more products: add rows in Products &amp; Costs sheet only.</t>
  </si>
  <si>
    <t>To add more order rows: copy the formula row format down.</t>
  </si>
  <si>
    <t>Platform fee %: Tokopedia ~5%, Shopee ~3.5% (check your seller dashboard for exact rates).</t>
  </si>
  <si>
    <t>Table</t>
  </si>
  <si>
    <t>Chair</t>
  </si>
  <si>
    <t>Ball</t>
  </si>
  <si>
    <t>Low</t>
  </si>
  <si>
    <t>High</t>
  </si>
  <si>
    <t>Small</t>
  </si>
  <si>
    <t>example</t>
  </si>
  <si>
    <r>
      <t xml:space="preserve">🔵 </t>
    </r>
    <r>
      <rPr>
        <b/>
        <i/>
        <sz val="10"/>
        <color theme="4"/>
        <rFont val="Arial"/>
        <family val="2"/>
      </rPr>
      <t>Blue text</t>
    </r>
    <r>
      <rPr>
        <sz val="10"/>
        <color rgb="FF333333"/>
        <rFont val="Arial"/>
        <charset val="1"/>
      </rPr>
      <t xml:space="preserve"> = Input cells — fill these in manually</t>
    </r>
  </si>
  <si>
    <r>
      <t xml:space="preserve">🟢 </t>
    </r>
    <r>
      <rPr>
        <b/>
        <i/>
        <sz val="10"/>
        <color rgb="FF92D050"/>
        <rFont val="Arial"/>
        <family val="2"/>
      </rPr>
      <t>Green text</t>
    </r>
    <r>
      <rPr>
        <sz val="10"/>
        <color rgb="FF333333"/>
        <rFont val="Arial"/>
        <charset val="1"/>
      </rPr>
      <t xml:space="preserve"> = Linked from another sheet</t>
    </r>
    <r>
      <rPr>
        <sz val="10"/>
        <color rgb="FF333333"/>
        <rFont val="Arial"/>
        <family val="2"/>
      </rPr>
      <t xml:space="preserve"> (Products &amp; Costs)</t>
    </r>
  </si>
  <si>
    <r>
      <t xml:space="preserve">TIPS </t>
    </r>
    <r>
      <rPr>
        <b/>
        <sz val="10"/>
        <color rgb="FFC00000"/>
        <rFont val="Arial"/>
        <family val="2"/>
      </rPr>
      <t>(IMPORTANT)</t>
    </r>
  </si>
  <si>
    <t>Grand Total</t>
  </si>
  <si>
    <t>Other Costs (IDR)</t>
  </si>
  <si>
    <t>Platform Fees (IDR)</t>
  </si>
  <si>
    <t>Total Revenue (IDR)</t>
  </si>
  <si>
    <t>Total Qty Sold</t>
  </si>
  <si>
    <t>🏆 Top Products by Revenue (Whole Year)</t>
  </si>
  <si>
    <t>📊 Platform Summary (Whole Year)</t>
  </si>
  <si>
    <t xml:space="preserve">  • Platform — Click on dropdown button and select 'Tokopedia' or 'Shopee' exactly</t>
  </si>
  <si>
    <t xml:space="preserve">  • Product Name — Choose from Dropdown box</t>
  </si>
  <si>
    <t xml:space="preserve">  • Variant — e.g. Biru, Pink, Hijau — Choose from dropdown box</t>
  </si>
  <si>
    <t xml:space="preserve">  • Qty — number of units sold (Manually typed in)</t>
  </si>
  <si>
    <t xml:space="preserve">  • Revenue (IDR) — total amount received from buyer (Manually typed in)</t>
  </si>
  <si>
    <t>Production Cost auto-fills from Products &amp; Costs (green text = linked formula to 'Products &amp; Costs' sheet).</t>
  </si>
  <si>
    <t>Gross Profit, Net Profit and Status all calculate automatically.</t>
  </si>
  <si>
    <t>Month(s)</t>
  </si>
  <si>
    <t>Filter monthly costs/profit breakdown via the filter to select and compare between months</t>
  </si>
  <si>
    <t>ENSURE PLATFORM FEES ARE ACCURATE</t>
  </si>
  <si>
    <t>To add new products, create new row and copy over all formulas to ensure that automation is applied.</t>
  </si>
  <si>
    <t>Mirror</t>
  </si>
  <si>
    <t>Platforms</t>
  </si>
  <si>
    <t>Tiktok</t>
  </si>
  <si>
    <t>Amazon</t>
  </si>
  <si>
    <t>Fee%</t>
  </si>
  <si>
    <t>To add new platforms, just duplicate rows into the platform table and enter the platform fees (if any)</t>
  </si>
  <si>
    <t>Items Sold</t>
  </si>
  <si>
    <t>Revenue Per Item</t>
  </si>
  <si>
    <t>Net Profit Per Item</t>
  </si>
  <si>
    <t>Products</t>
  </si>
  <si>
    <t>Revenue</t>
  </si>
  <si>
    <t>Platform Fee</t>
  </si>
  <si>
    <t>Number of Orders</t>
  </si>
  <si>
    <t xml:space="preserve">  • Platform breakdown: Comparison of all platforms used</t>
  </si>
  <si>
    <r>
      <t xml:space="preserve">All dashboards </t>
    </r>
    <r>
      <rPr>
        <b/>
        <i/>
        <sz val="10"/>
        <color rgb="FFFF0000"/>
        <rFont val="Arial"/>
        <family val="2"/>
      </rPr>
      <t>EXCEPT KPI CARDS</t>
    </r>
    <r>
      <rPr>
        <sz val="10"/>
        <color rgb="FF333333"/>
        <rFont val="Arial"/>
        <family val="2"/>
      </rPr>
      <t>, are PivotTables linked to Table 'OrderTable' in 'Orders Logs' sheet</t>
    </r>
  </si>
  <si>
    <r>
      <t xml:space="preserve">⚫ </t>
    </r>
    <r>
      <rPr>
        <b/>
        <i/>
        <sz val="10"/>
        <color theme="1" tint="4.9989318521683403E-2"/>
        <rFont val="Arial"/>
        <family val="2"/>
      </rPr>
      <t>Black text</t>
    </r>
    <r>
      <rPr>
        <sz val="10"/>
        <color rgb="FF333333"/>
        <rFont val="Arial"/>
        <family val="2"/>
      </rPr>
      <t xml:space="preserve"> = Formula cells — calculated automatically, </t>
    </r>
    <r>
      <rPr>
        <b/>
        <i/>
        <sz val="10"/>
        <color rgb="FFFF0000"/>
        <rFont val="Arial"/>
        <family val="2"/>
      </rPr>
      <t>DO NOT EDIT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</si>
</sst>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6" formatCode="dd/mm/yyyy"/>
    <numFmt numFmtId="168" formatCode="#,##0_ ;[Red]\-#,##0\ "/>
    <numFmt numFmtId="169" formatCode="0_ ;[Red]\-0\ "/>
    <numFmt numFmtId="170" formatCode="#,##0.00;\(#,##0.00\);\-"/>
    <numFmt numFmtId="176" formatCode="#,##0.00_ ;[Red]\-#,##0.00\ "/>
  </numFmts>
  <fonts count="3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AAAAAA"/>
      <name val="Arial"/>
      <charset val="1"/>
    </font>
    <font>
      <b/>
      <sz val="10"/>
      <color rgb="FFFFFFFF"/>
      <name val="Arial"/>
      <charset val="1"/>
    </font>
    <font>
      <b/>
      <sz val="16"/>
      <color rgb="FFFFFF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3"/>
      <color rgb="FFFFFFFF"/>
      <name val="Arial"/>
      <charset val="1"/>
    </font>
    <font>
      <i/>
      <sz val="9"/>
      <color rgb="FFBBBBBB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sz val="9"/>
      <color rgb="FF008000"/>
      <name val="Arial"/>
      <charset val="1"/>
    </font>
    <font>
      <sz val="10"/>
      <color rgb="FF333333"/>
      <name val="Arial"/>
      <charset val="1"/>
    </font>
    <font>
      <sz val="8"/>
      <name val="Calibri"/>
      <family val="2"/>
      <charset val="1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  <charset val="1"/>
    </font>
    <font>
      <b/>
      <i/>
      <sz val="10"/>
      <color rgb="FF92D050"/>
      <name val="Arial"/>
      <family val="2"/>
    </font>
    <font>
      <sz val="10"/>
      <color rgb="FF333333"/>
      <name val="Arial"/>
      <family val="2"/>
    </font>
    <font>
      <b/>
      <i/>
      <sz val="10"/>
      <color theme="4"/>
      <name val="Arial"/>
      <family val="2"/>
    </font>
    <font>
      <b/>
      <i/>
      <sz val="10"/>
      <color theme="1" tint="4.9989318521683403E-2"/>
      <name val="Arial"/>
      <family val="2"/>
    </font>
    <font>
      <b/>
      <sz val="10"/>
      <color rgb="FFC00000"/>
      <name val="Arial"/>
      <family val="2"/>
    </font>
    <font>
      <b/>
      <sz val="11"/>
      <color rgb="FFFFFFFF"/>
      <name val="Arial"/>
      <family val="2"/>
    </font>
    <font>
      <sz val="11"/>
      <color rgb="FFC00000"/>
      <name val="Calibri"/>
      <family val="2"/>
      <charset val="1"/>
    </font>
    <font>
      <b/>
      <i/>
      <sz val="11"/>
      <color rgb="FFC00000"/>
      <name val="Calibri"/>
      <family val="2"/>
    </font>
    <font>
      <sz val="11"/>
      <color theme="1"/>
      <name val="Calibri"/>
      <family val="2"/>
      <charset val="1"/>
    </font>
    <font>
      <sz val="11"/>
      <color theme="3"/>
      <name val="Calibri"/>
      <family val="2"/>
      <charset val="1"/>
    </font>
    <font>
      <sz val="11"/>
      <color theme="2"/>
      <name val="Calibri"/>
      <family val="2"/>
      <charset val="1"/>
    </font>
    <font>
      <b/>
      <sz val="14"/>
      <color rgb="FFFFFFFF"/>
      <name val="Arial"/>
      <family val="2"/>
    </font>
    <font>
      <sz val="14"/>
      <name val="Calibri"/>
      <family val="2"/>
      <charset val="1"/>
    </font>
    <font>
      <b/>
      <i/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E1E2E"/>
        <bgColor rgb="FF2D2D44"/>
      </patternFill>
    </fill>
    <fill>
      <patternFill patternType="solid">
        <fgColor rgb="FF0D9488"/>
        <bgColor rgb="FF008080"/>
      </patternFill>
    </fill>
    <fill>
      <patternFill patternType="solid">
        <fgColor rgb="FFDC2626"/>
        <bgColor rgb="FF993300"/>
      </patternFill>
    </fill>
    <fill>
      <patternFill patternType="solid">
        <fgColor rgb="FF16A34A"/>
        <bgColor rgb="FF0D9488"/>
      </patternFill>
    </fill>
    <fill>
      <patternFill patternType="solid">
        <fgColor rgb="FF7C6AF7"/>
        <bgColor rgb="FF5B5BD6"/>
      </patternFill>
    </fill>
    <fill>
      <patternFill patternType="solid">
        <fgColor rgb="FF5B5BD6"/>
        <bgColor rgb="FF7C6AF7"/>
      </patternFill>
    </fill>
    <fill>
      <patternFill patternType="solid">
        <fgColor rgb="FFF97316"/>
        <bgColor rgb="FFFF9900"/>
      </patternFill>
    </fill>
    <fill>
      <patternFill patternType="solid">
        <fgColor rgb="FF2D2D44"/>
        <bgColor rgb="FF333333"/>
      </patternFill>
    </fill>
    <fill>
      <patternFill patternType="solid">
        <fgColor rgb="FFEEF2FF"/>
        <bgColor rgb="FFF9F9FF"/>
      </patternFill>
    </fill>
    <fill>
      <patternFill patternType="solid">
        <fgColor rgb="FFF9F9FF"/>
        <bgColor rgb="FFFFFFFF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/>
      <top style="thin">
        <color rgb="FFDADADA"/>
      </top>
      <bottom/>
      <diagonal/>
    </border>
    <border>
      <left/>
      <right/>
      <top style="thin">
        <color rgb="FFDADADA"/>
      </top>
      <bottom/>
      <diagonal/>
    </border>
    <border>
      <left/>
      <right style="thin">
        <color rgb="FFDADADA"/>
      </right>
      <top style="thin">
        <color rgb="FFDADAD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DADADA"/>
      </left>
      <right/>
      <top/>
      <bottom/>
      <diagonal/>
    </border>
    <border>
      <left style="thin">
        <color rgb="FFDADADA"/>
      </left>
      <right/>
      <top/>
      <bottom style="thin">
        <color rgb="FFDADADA"/>
      </bottom>
      <diagonal/>
    </border>
    <border>
      <left/>
      <right style="thin">
        <color rgb="FFDADADA"/>
      </right>
      <top/>
      <bottom style="thin">
        <color rgb="FFDADADA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 count="86">
    <xf numFmtId="0" fontId="0" fillId="0" borderId="0" xfId="0"/>
    <xf numFmtId="166" fontId="5" fillId="10" borderId="3" xfId="0" applyNumberFormat="1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right" vertical="center"/>
    </xf>
    <xf numFmtId="164" fontId="6" fillId="0" borderId="3" xfId="0" applyNumberFormat="1" applyFont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3" fillId="6" borderId="3" xfId="0" applyFont="1" applyFill="1" applyBorder="1" applyAlignment="1">
      <alignment horizontal="left" vertical="center"/>
    </xf>
    <xf numFmtId="0" fontId="15" fillId="11" borderId="3" xfId="0" applyFont="1" applyFill="1" applyBorder="1" applyAlignment="1">
      <alignment horizontal="left" vertical="center"/>
    </xf>
    <xf numFmtId="14" fontId="5" fillId="10" borderId="3" xfId="0" applyNumberFormat="1" applyFont="1" applyFill="1" applyBorder="1" applyAlignment="1">
      <alignment horizontal="center" vertical="center"/>
    </xf>
    <xf numFmtId="0" fontId="21" fillId="11" borderId="3" xfId="0" applyFont="1" applyFill="1" applyBorder="1" applyAlignment="1">
      <alignment horizontal="left" vertical="center"/>
    </xf>
    <xf numFmtId="0" fontId="18" fillId="6" borderId="3" xfId="0" applyFont="1" applyFill="1" applyBorder="1" applyAlignment="1">
      <alignment horizontal="left" vertical="center"/>
    </xf>
    <xf numFmtId="164" fontId="5" fillId="10" borderId="3" xfId="0" applyNumberFormat="1" applyFont="1" applyFill="1" applyBorder="1" applyAlignment="1">
      <alignment vertical="center"/>
    </xf>
    <xf numFmtId="168" fontId="10" fillId="0" borderId="3" xfId="0" applyNumberFormat="1" applyFont="1" applyBorder="1" applyAlignment="1">
      <alignment horizontal="right" vertical="center"/>
    </xf>
    <xf numFmtId="0" fontId="26" fillId="0" borderId="0" xfId="0" applyFont="1"/>
    <xf numFmtId="0" fontId="3" fillId="6" borderId="0" xfId="0" applyFont="1" applyFill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164" fontId="17" fillId="10" borderId="8" xfId="0" applyNumberFormat="1" applyFont="1" applyFill="1" applyBorder="1" applyAlignment="1">
      <alignment horizontal="center" vertical="center"/>
    </xf>
    <xf numFmtId="0" fontId="19" fillId="10" borderId="8" xfId="0" applyFont="1" applyFill="1" applyBorder="1" applyAlignment="1">
      <alignment horizontal="center" vertical="center"/>
    </xf>
    <xf numFmtId="0" fontId="27" fillId="0" borderId="0" xfId="0" applyFo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0" fontId="4" fillId="3" borderId="1" xfId="0" applyNumberFormat="1" applyFont="1" applyFill="1" applyBorder="1" applyAlignment="1">
      <alignment horizontal="center" vertical="center"/>
    </xf>
    <xf numFmtId="170" fontId="4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29" fillId="13" borderId="12" xfId="0" applyFont="1" applyFill="1" applyBorder="1" applyAlignment="1">
      <alignment horizontal="center" vertical="center"/>
    </xf>
    <xf numFmtId="9" fontId="29" fillId="13" borderId="13" xfId="1" applyFont="1" applyFill="1" applyBorder="1" applyAlignment="1">
      <alignment horizontal="center" vertical="center"/>
    </xf>
    <xf numFmtId="0" fontId="30" fillId="12" borderId="14" xfId="0" applyFont="1" applyFill="1" applyBorder="1" applyAlignment="1">
      <alignment horizontal="center" vertical="center"/>
    </xf>
    <xf numFmtId="0" fontId="30" fillId="12" borderId="15" xfId="0" applyFont="1" applyFill="1" applyBorder="1" applyAlignment="1">
      <alignment horizontal="center" vertical="center"/>
    </xf>
    <xf numFmtId="0" fontId="29" fillId="13" borderId="16" xfId="0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6" fontId="5" fillId="10" borderId="19" xfId="0" applyNumberFormat="1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left" vertical="center"/>
    </xf>
    <xf numFmtId="164" fontId="5" fillId="10" borderId="19" xfId="0" applyNumberFormat="1" applyFont="1" applyFill="1" applyBorder="1" applyAlignment="1">
      <alignment vertical="center"/>
    </xf>
    <xf numFmtId="164" fontId="6" fillId="0" borderId="19" xfId="0" applyNumberFormat="1" applyFont="1" applyBorder="1" applyAlignment="1">
      <alignment horizontal="right" vertical="center"/>
    </xf>
    <xf numFmtId="164" fontId="10" fillId="0" borderId="19" xfId="0" applyNumberFormat="1" applyFont="1" applyBorder="1" applyAlignment="1">
      <alignment horizontal="right" vertical="center"/>
    </xf>
    <xf numFmtId="168" fontId="10" fillId="0" borderId="19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25" fillId="6" borderId="9" xfId="0" applyFont="1" applyFill="1" applyBorder="1" applyAlignment="1">
      <alignment horizontal="center" vertical="center"/>
    </xf>
    <xf numFmtId="0" fontId="25" fillId="6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0" fillId="12" borderId="7" xfId="0" applyFill="1" applyBorder="1" applyAlignment="1">
      <alignment horizontal="center" vertical="center"/>
    </xf>
    <xf numFmtId="0" fontId="0" fillId="12" borderId="7" xfId="0" applyNumberFormat="1" applyFill="1" applyBorder="1" applyAlignment="1">
      <alignment horizontal="center" vertical="center"/>
    </xf>
    <xf numFmtId="168" fontId="0" fillId="12" borderId="7" xfId="0" applyNumberFormat="1" applyFill="1" applyBorder="1" applyAlignment="1">
      <alignment horizontal="center" vertical="center"/>
    </xf>
    <xf numFmtId="0" fontId="32" fillId="12" borderId="7" xfId="0" applyFont="1" applyFill="1" applyBorder="1" applyAlignment="1">
      <alignment horizontal="center" vertical="center"/>
    </xf>
    <xf numFmtId="169" fontId="32" fillId="12" borderId="7" xfId="0" applyNumberFormat="1" applyFont="1" applyFill="1" applyBorder="1" applyAlignment="1">
      <alignment horizontal="center" vertical="center"/>
    </xf>
    <xf numFmtId="176" fontId="0" fillId="12" borderId="7" xfId="0" applyNumberFormat="1" applyFill="1" applyBorder="1" applyAlignment="1">
      <alignment horizontal="center" vertical="center"/>
    </xf>
    <xf numFmtId="176" fontId="32" fillId="12" borderId="7" xfId="0" applyNumberFormat="1" applyFont="1" applyFill="1" applyBorder="1" applyAlignment="1">
      <alignment horizontal="center" vertical="center"/>
    </xf>
    <xf numFmtId="0" fontId="11" fillId="14" borderId="13" xfId="0" applyFont="1" applyFill="1" applyBorder="1" applyAlignment="1">
      <alignment horizontal="left" vertical="center"/>
    </xf>
    <xf numFmtId="0" fontId="11" fillId="14" borderId="20" xfId="0" applyFont="1" applyFill="1" applyBorder="1" applyAlignment="1">
      <alignment horizontal="left" vertical="center"/>
    </xf>
    <xf numFmtId="0" fontId="11" fillId="14" borderId="12" xfId="0" applyFont="1" applyFill="1" applyBorder="1" applyAlignment="1">
      <alignment horizontal="left" vertical="center"/>
    </xf>
    <xf numFmtId="0" fontId="12" fillId="15" borderId="7" xfId="0" applyFont="1" applyFill="1" applyBorder="1" applyAlignment="1">
      <alignment horizontal="left" vertical="center"/>
    </xf>
    <xf numFmtId="0" fontId="0" fillId="15" borderId="7" xfId="0" applyFill="1" applyBorder="1" applyAlignment="1">
      <alignment horizontal="left" vertical="center"/>
    </xf>
    <xf numFmtId="0" fontId="13" fillId="15" borderId="7" xfId="0" applyFont="1" applyFill="1" applyBorder="1" applyAlignment="1">
      <alignment horizontal="left" vertical="center"/>
    </xf>
    <xf numFmtId="0" fontId="14" fillId="15" borderId="7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68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numFmt numFmtId="167" formatCode="0.00_ ;[Red]\-0.00\ "/>
    </dxf>
    <dxf>
      <numFmt numFmtId="169" formatCode="0_ ;[Red]\-0\ "/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76" formatCode="#,##0.00_ ;[Red]\-#,##0.00\ "/>
    </dxf>
    <dxf>
      <numFmt numFmtId="176" formatCode="#,##0.00_ ;[Red]\-#,##0.00\ "/>
    </dxf>
    <dxf>
      <numFmt numFmtId="176" formatCode="#,##0.00_ ;[Red]\-#,##0.00\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numFmt numFmtId="2" formatCode="0.00"/>
    </dxf>
    <dxf>
      <numFmt numFmtId="2" formatCode="0.00"/>
    </dxf>
    <dxf>
      <numFmt numFmtId="176" formatCode="#,##0.00_ ;[Red]\-#,##0.00\ "/>
    </dxf>
    <dxf>
      <numFmt numFmtId="168" formatCode="#,##0_ ;[Red]\-#,##0\ "/>
    </dxf>
    <dxf>
      <numFmt numFmtId="168" formatCode="#,##0_ ;[Red]\-#,##0\ "/>
    </dxf>
    <dxf>
      <font>
        <b/>
      </font>
    </dxf>
    <dxf>
      <font>
        <b/>
      </font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6" formatCode="#,##0.00_ ;[Red]\-#,##0.00\ 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</font>
    </dxf>
    <dxf>
      <font>
        <b/>
      </font>
    </dxf>
    <dxf>
      <numFmt numFmtId="176" formatCode="#,##0.00_ ;[Red]\-#,##0.00\ "/>
    </dxf>
    <dxf>
      <numFmt numFmtId="176" formatCode="#,##0.00_ ;[Red]\-#,##0.00\ "/>
    </dxf>
    <dxf>
      <numFmt numFmtId="4" formatCode="#,##0.00"/>
    </dxf>
    <dxf>
      <numFmt numFmtId="176" formatCode="#,##0.00_ ;[Red]\-#,##0.00\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4" formatCode="#,##0.00"/>
    </dxf>
    <dxf>
      <font>
        <b/>
      </font>
    </dxf>
    <dxf>
      <font>
        <b/>
      </font>
    </dxf>
    <dxf>
      <numFmt numFmtId="167" formatCode="0.00_ ;[Red]\-0.00\ "/>
    </dxf>
    <dxf>
      <numFmt numFmtId="169" formatCode="0_ ;[Red]\-0\ "/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numFmt numFmtId="2" formatCode="0.00"/>
    </dxf>
    <dxf>
      <numFmt numFmtId="176" formatCode="#,##0.00_ ;[Red]\-#,##0.00\ "/>
    </dxf>
    <dxf>
      <numFmt numFmtId="2" formatCode="0.00"/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#,##0.0_ ;[Red]\-#,##0.0\ "/>
    </dxf>
    <dxf>
      <numFmt numFmtId="168" formatCode="#,##0_ ;[Red]\-#,##0\ "/>
    </dxf>
    <dxf>
      <numFmt numFmtId="180" formatCode="#,##0.0_ ;[Red]\-#,##0.0\ "/>
    </dxf>
    <dxf>
      <numFmt numFmtId="168" formatCode="#,##0_ ;[Red]\-#,##0\ "/>
    </dxf>
    <dxf>
      <numFmt numFmtId="176" formatCode="#,##0.00_ ;[Red]\-#,##0.00\ "/>
    </dxf>
    <dxf>
      <numFmt numFmtId="178" formatCode="#,##0.000_ ;[Red]\-#,##0.000\ "/>
    </dxf>
    <dxf>
      <numFmt numFmtId="179" formatCode="#,##0.0000_ ;[Red]\-#,##0.0000\ "/>
    </dxf>
    <dxf>
      <numFmt numFmtId="178" formatCode="#,##0.000_ ;[Red]\-#,##0.000\ "/>
    </dxf>
    <dxf>
      <numFmt numFmtId="1" formatCode="0"/>
    </dxf>
    <dxf>
      <numFmt numFmtId="176" formatCode="#,##0.00_ ;[Red]\-#,##0.00\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numFmt numFmtId="1" formatCode="0"/>
    </dxf>
    <dxf>
      <numFmt numFmtId="2" formatCode="0.00"/>
    </dxf>
    <dxf>
      <numFmt numFmtId="2" formatCode="0.00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7" formatCode="0.0"/>
    </dxf>
    <dxf>
      <numFmt numFmtId="177" formatCode="0.0"/>
    </dxf>
    <dxf>
      <numFmt numFmtId="177" formatCode="0.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numFmt numFmtId="1" formatCode="0"/>
    </dxf>
    <dxf>
      <numFmt numFmtId="2" formatCode="0.00"/>
    </dxf>
    <dxf>
      <numFmt numFmtId="177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numFmt numFmtId="1" formatCode="0"/>
    </dxf>
    <dxf>
      <numFmt numFmtId="2" formatCode="0.00"/>
    </dxf>
    <dxf>
      <numFmt numFmtId="177" formatCode="0.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numFmt numFmtId="1" formatCode="0"/>
    </dxf>
    <dxf>
      <numFmt numFmtId="177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numFmt numFmtId="1" formatCode="0"/>
    </dxf>
    <dxf>
      <numFmt numFmtId="177" formatCode="0.0"/>
    </dxf>
    <dxf>
      <numFmt numFmtId="2" formatCode="0.00"/>
    </dxf>
    <dxf>
      <numFmt numFmtId="177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numFmt numFmtId="167" formatCode="0.00_ ;[Red]\-0.00\ "/>
    </dxf>
    <dxf>
      <numFmt numFmtId="169" formatCode="0_ ;[Red]\-0\ "/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9966FF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2D2D4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ADADA"/>
        </left>
        <right style="thin">
          <color rgb="FFDADAD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ADADA"/>
        </left>
        <right/>
        <top style="thin">
          <color rgb="FFDADADA"/>
        </top>
        <bottom style="thin">
          <color rgb="FFDADA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8" formatCode="#,##0_ ;[Red]\-#,##0\ "/>
      <alignment horizontal="right" vertical="center" textRotation="0" wrapText="0" indent="0" justifyLastLine="0" shrinkToFit="0" readingOrder="0"/>
      <border diagonalUp="0" diagonalDown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8" formatCode="#,##0_ ;[Red]\-#,##0\ "/>
      <alignment horizontal="right" vertical="center" textRotation="0" wrapText="0" indent="0" justifyLastLine="0" shrinkToFit="0" readingOrder="0"/>
      <border diagonalUp="0" diagonalDown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4" formatCode="#,##0;\(#,##0\);\-"/>
      <fill>
        <patternFill patternType="solid">
          <fgColor rgb="FFF9F9FF"/>
          <bgColor rgb="FFEEF2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4" formatCode="#,##0;\(#,##0\);\-"/>
      <alignment horizontal="right" vertical="center" textRotation="0" wrapText="0" indent="0" justifyLastLine="0" shrinkToFit="0" readingOrder="0"/>
      <border diagonalUp="0" diagonalDown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8000"/>
        <name val="Arial"/>
        <charset val="1"/>
        <scheme val="none"/>
      </font>
      <numFmt numFmtId="164" formatCode="#,##0;\(#,##0\);\-"/>
      <alignment horizontal="right" vertical="center" textRotation="0" wrapText="0" indent="0" justifyLastLine="0" shrinkToFit="0" readingOrder="0"/>
      <border diagonalUp="0" diagonalDown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F9F9FF"/>
          <bgColor rgb="FFEE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4" formatCode="#,##0;\(#,##0\);\-"/>
      <fill>
        <patternFill patternType="solid">
          <fgColor rgb="FFF9F9FF"/>
          <bgColor rgb="FFEEF2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F9F9FF"/>
          <bgColor rgb="FFEE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F9F9FF"/>
          <bgColor rgb="FFEEF2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F9F9FF"/>
          <bgColor rgb="FFEE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F9F9FF"/>
          <bgColor rgb="FFEE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6" formatCode="dd/mm/yyyy"/>
      <fill>
        <patternFill patternType="solid">
          <fgColor rgb="FFF9F9FF"/>
          <bgColor rgb="FFEE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border outline="0">
        <top style="thin">
          <color rgb="FFDADADA"/>
        </top>
      </border>
    </dxf>
    <dxf>
      <border outline="0">
        <bottom style="thin">
          <color rgb="FFDADADA"/>
        </bottom>
      </border>
    </dxf>
    <dxf>
      <border outline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charset val="1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charset val="1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charset val="1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F9F9FF"/>
          <bgColor rgb="FFEE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F9F9FF"/>
          <bgColor rgb="FFEE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F9F9FF"/>
          <bgColor rgb="FFEE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F9F9FF"/>
          <bgColor rgb="FFEE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 outline="0">
        <top style="thin">
          <color rgb="FFDADADA"/>
        </top>
      </border>
    </dxf>
    <dxf>
      <border outline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F9F9FF"/>
          <bgColor rgb="FFEEF2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DADAD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5B5BD6"/>
          <bgColor rgb="FF7C6AF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BBBBBB"/>
      <rgbColor rgb="FF808080"/>
      <rgbColor rgb="FF7C6AF7"/>
      <rgbColor rgb="FF993366"/>
      <rgbColor rgb="FFFFFDE7"/>
      <rgbColor rgb="FFEEF2FF"/>
      <rgbColor rgb="FF660066"/>
      <rgbColor rgb="FFFF8080"/>
      <rgbColor rgb="FF0066CC"/>
      <rgbColor rgb="FFDA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F"/>
      <rgbColor rgb="FFCCFFCC"/>
      <rgbColor rgb="FFFFFF99"/>
      <rgbColor rgb="FF99CCFF"/>
      <rgbColor rgb="FFFF99CC"/>
      <rgbColor rgb="FFCC99FF"/>
      <rgbColor rgb="FFFFCC99"/>
      <rgbColor rgb="FF5B5BD6"/>
      <rgbColor rgb="FF33CCCC"/>
      <rgbColor rgb="FF99CC00"/>
      <rgbColor rgb="FFFFCC00"/>
      <rgbColor rgb="FFFF9900"/>
      <rgbColor rgb="FFF97316"/>
      <rgbColor rgb="FF666666"/>
      <rgbColor rgb="FFAAAAAA"/>
      <rgbColor rgb="FF003366"/>
      <rgbColor rgb="FF16A34A"/>
      <rgbColor rgb="FF1E1E2E"/>
      <rgbColor rgb="FF2D2D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47 Lucas chew ken yang" refreshedDate="46132.672335069445" createdVersion="8" refreshedVersion="8" minRefreshableVersion="3" recordCount="95" xr:uid="{78D46CBB-E30A-4492-8EFC-C69398DBF339}">
  <cacheSource type="worksheet">
    <worksheetSource name="OrderTable"/>
  </cacheSource>
  <cacheFields count="16">
    <cacheField name="No" numFmtId="0">
      <sharedItems containsSemiMixedTypes="0" containsString="0" containsNumber="1" containsInteger="1" minValue="1" maxValue="95"/>
    </cacheField>
    <cacheField name="Date" numFmtId="0">
      <sharedItems containsNonDate="0" containsDate="1" containsString="0" containsBlank="1" minDate="1905-01-01T00:00:00" maxDate="2026-04-14T00:00:00" count="10">
        <m/>
        <d v="2026-03-29T00:00:00" u="1"/>
        <d v="2026-03-31T00:00:00" u="1"/>
        <d v="2026-04-02T00:00:00" u="1"/>
        <d v="2026-04-03T00:00:00" u="1"/>
        <d v="2026-04-06T00:00:00" u="1"/>
        <d v="2026-04-07T00:00:00" u="1"/>
        <d v="2026-04-08T00:00:00" u="1"/>
        <d v="2026-04-12T00:00:00" u="1"/>
        <d v="2026-04-13T00:00:00" u="1"/>
      </sharedItems>
      <fieldGroup par="15"/>
    </cacheField>
    <cacheField name="Platform" numFmtId="0">
      <sharedItems containsNonDate="0" containsBlank="1" count="4">
        <m/>
        <s v="Tokopedia" u="1"/>
        <s v="-" u="1"/>
        <s v="Shopee" u="1"/>
      </sharedItems>
    </cacheField>
    <cacheField name="Resi / Order ID" numFmtId="0">
      <sharedItems containsNonDate="0" containsString="0" containsBlank="1"/>
    </cacheField>
    <cacheField name="Product Name" numFmtId="0">
      <sharedItems containsNonDate="0" containsBlank="1" count="9">
        <m/>
        <s v="Bangku Anak 01" u="1"/>
        <s v="Beli Alat Pinggang" u="1"/>
        <s v="service printer" u="1"/>
        <s v="Iklan" u="1"/>
        <s v="Galon Mover" u="1"/>
        <s v="Ball" u="1"/>
        <s v="Chair" u="1"/>
        <s v="Mirror" u="1"/>
      </sharedItems>
    </cacheField>
    <cacheField name="Variant" numFmtId="0">
      <sharedItems containsNonDate="0" containsString="0" containsBlank="1"/>
    </cacheField>
    <cacheField name="Revenue (IDR)" numFmtId="164">
      <sharedItems containsNonDate="0" containsString="0" containsBlank="1"/>
    </cacheField>
    <cacheField name="Qty" numFmtId="0">
      <sharedItems containsNonDate="0" containsString="0" containsBlank="1"/>
    </cacheField>
    <cacheField name="Production Cost" numFmtId="164">
      <sharedItems containsSemiMixedTypes="0" containsString="0" containsNumber="1" containsInteger="1" minValue="0" maxValue="0"/>
    </cacheField>
    <cacheField name="Platform Fee (IDR)" numFmtId="164">
      <sharedItems containsSemiMixedTypes="0" containsString="0" containsNumber="1" containsInteger="1" minValue="0" maxValue="0"/>
    </cacheField>
    <cacheField name="Other Costs" numFmtId="164">
      <sharedItems containsNonDate="0" containsString="0" containsBlank="1"/>
    </cacheField>
    <cacheField name="Gross Profit" numFmtId="168">
      <sharedItems containsSemiMixedTypes="0" containsString="0" containsNumber="1" containsInteger="1" minValue="0" maxValue="0"/>
    </cacheField>
    <cacheField name="Net Profit" numFmtId="168">
      <sharedItems containsSemiMixedTypes="0" containsString="0" containsNumber="1" containsInteger="1" minValue="0" maxValue="0"/>
    </cacheField>
    <cacheField name="Status" numFmtId="0">
      <sharedItems/>
    </cacheField>
    <cacheField name="Days (Date)" numFmtId="0" databaseField="0">
      <fieldGroup base="1">
        <rangePr groupBy="days" startDate="1905-01-01T00:00:00" endDate="1905-01-01T00:00:00"/>
        <groupItems count="368">
          <s v="&lt;1/1/190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1905"/>
        </groupItems>
      </fieldGroup>
    </cacheField>
    <cacheField name="Months (Date)" numFmtId="0" databaseField="0">
      <fieldGroup base="1">
        <rangePr groupBy="months" startDate="1905-01-01T00:00:00" endDate="1905-01-01T00:00:00"/>
        <groupItems count="14">
          <s v="&lt;1/1/190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/1/19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1"/>
    <x v="0"/>
    <x v="0"/>
    <m/>
    <x v="0"/>
    <m/>
    <m/>
    <m/>
    <n v="0"/>
    <n v="0"/>
    <m/>
    <n v="0"/>
    <n v="0"/>
    <s v="—"/>
  </r>
  <r>
    <n v="2"/>
    <x v="0"/>
    <x v="0"/>
    <m/>
    <x v="0"/>
    <m/>
    <m/>
    <m/>
    <n v="0"/>
    <n v="0"/>
    <m/>
    <n v="0"/>
    <n v="0"/>
    <s v="—"/>
  </r>
  <r>
    <n v="3"/>
    <x v="0"/>
    <x v="0"/>
    <m/>
    <x v="0"/>
    <m/>
    <m/>
    <m/>
    <n v="0"/>
    <n v="0"/>
    <m/>
    <n v="0"/>
    <n v="0"/>
    <s v="—"/>
  </r>
  <r>
    <n v="4"/>
    <x v="0"/>
    <x v="0"/>
    <m/>
    <x v="0"/>
    <m/>
    <m/>
    <m/>
    <n v="0"/>
    <n v="0"/>
    <m/>
    <n v="0"/>
    <n v="0"/>
    <s v="—"/>
  </r>
  <r>
    <n v="5"/>
    <x v="0"/>
    <x v="0"/>
    <m/>
    <x v="0"/>
    <m/>
    <m/>
    <m/>
    <n v="0"/>
    <n v="0"/>
    <m/>
    <n v="0"/>
    <n v="0"/>
    <s v="—"/>
  </r>
  <r>
    <n v="6"/>
    <x v="0"/>
    <x v="0"/>
    <m/>
    <x v="0"/>
    <m/>
    <m/>
    <m/>
    <n v="0"/>
    <n v="0"/>
    <m/>
    <n v="0"/>
    <n v="0"/>
    <s v="—"/>
  </r>
  <r>
    <n v="7"/>
    <x v="0"/>
    <x v="0"/>
    <m/>
    <x v="0"/>
    <m/>
    <m/>
    <m/>
    <n v="0"/>
    <n v="0"/>
    <m/>
    <n v="0"/>
    <n v="0"/>
    <s v="—"/>
  </r>
  <r>
    <n v="8"/>
    <x v="0"/>
    <x v="0"/>
    <m/>
    <x v="0"/>
    <m/>
    <m/>
    <m/>
    <n v="0"/>
    <n v="0"/>
    <m/>
    <n v="0"/>
    <n v="0"/>
    <s v="—"/>
  </r>
  <r>
    <n v="9"/>
    <x v="0"/>
    <x v="0"/>
    <m/>
    <x v="0"/>
    <m/>
    <m/>
    <m/>
    <n v="0"/>
    <n v="0"/>
    <m/>
    <n v="0"/>
    <n v="0"/>
    <s v="—"/>
  </r>
  <r>
    <n v="10"/>
    <x v="0"/>
    <x v="0"/>
    <m/>
    <x v="0"/>
    <m/>
    <m/>
    <m/>
    <n v="0"/>
    <n v="0"/>
    <m/>
    <n v="0"/>
    <n v="0"/>
    <s v="—"/>
  </r>
  <r>
    <n v="11"/>
    <x v="0"/>
    <x v="0"/>
    <m/>
    <x v="0"/>
    <m/>
    <m/>
    <m/>
    <n v="0"/>
    <n v="0"/>
    <m/>
    <n v="0"/>
    <n v="0"/>
    <s v="—"/>
  </r>
  <r>
    <n v="12"/>
    <x v="0"/>
    <x v="0"/>
    <m/>
    <x v="0"/>
    <m/>
    <m/>
    <m/>
    <n v="0"/>
    <n v="0"/>
    <m/>
    <n v="0"/>
    <n v="0"/>
    <s v="—"/>
  </r>
  <r>
    <n v="13"/>
    <x v="0"/>
    <x v="0"/>
    <m/>
    <x v="0"/>
    <m/>
    <m/>
    <m/>
    <n v="0"/>
    <n v="0"/>
    <m/>
    <n v="0"/>
    <n v="0"/>
    <s v="—"/>
  </r>
  <r>
    <n v="14"/>
    <x v="0"/>
    <x v="0"/>
    <m/>
    <x v="0"/>
    <m/>
    <m/>
    <m/>
    <n v="0"/>
    <n v="0"/>
    <m/>
    <n v="0"/>
    <n v="0"/>
    <s v="—"/>
  </r>
  <r>
    <n v="15"/>
    <x v="0"/>
    <x v="0"/>
    <m/>
    <x v="0"/>
    <m/>
    <m/>
    <m/>
    <n v="0"/>
    <n v="0"/>
    <m/>
    <n v="0"/>
    <n v="0"/>
    <s v="—"/>
  </r>
  <r>
    <n v="16"/>
    <x v="0"/>
    <x v="0"/>
    <m/>
    <x v="0"/>
    <m/>
    <m/>
    <m/>
    <n v="0"/>
    <n v="0"/>
    <m/>
    <n v="0"/>
    <n v="0"/>
    <s v="—"/>
  </r>
  <r>
    <n v="17"/>
    <x v="0"/>
    <x v="0"/>
    <m/>
    <x v="0"/>
    <m/>
    <m/>
    <m/>
    <n v="0"/>
    <n v="0"/>
    <m/>
    <n v="0"/>
    <n v="0"/>
    <s v="—"/>
  </r>
  <r>
    <n v="18"/>
    <x v="0"/>
    <x v="0"/>
    <m/>
    <x v="0"/>
    <m/>
    <m/>
    <m/>
    <n v="0"/>
    <n v="0"/>
    <m/>
    <n v="0"/>
    <n v="0"/>
    <s v="—"/>
  </r>
  <r>
    <n v="19"/>
    <x v="0"/>
    <x v="0"/>
    <m/>
    <x v="0"/>
    <m/>
    <m/>
    <m/>
    <n v="0"/>
    <n v="0"/>
    <m/>
    <n v="0"/>
    <n v="0"/>
    <s v="—"/>
  </r>
  <r>
    <n v="20"/>
    <x v="0"/>
    <x v="0"/>
    <m/>
    <x v="0"/>
    <m/>
    <m/>
    <m/>
    <n v="0"/>
    <n v="0"/>
    <m/>
    <n v="0"/>
    <n v="0"/>
    <s v="—"/>
  </r>
  <r>
    <n v="21"/>
    <x v="0"/>
    <x v="0"/>
    <m/>
    <x v="0"/>
    <m/>
    <m/>
    <m/>
    <n v="0"/>
    <n v="0"/>
    <m/>
    <n v="0"/>
    <n v="0"/>
    <s v="—"/>
  </r>
  <r>
    <n v="22"/>
    <x v="0"/>
    <x v="0"/>
    <m/>
    <x v="0"/>
    <m/>
    <m/>
    <m/>
    <n v="0"/>
    <n v="0"/>
    <m/>
    <n v="0"/>
    <n v="0"/>
    <s v="—"/>
  </r>
  <r>
    <n v="23"/>
    <x v="0"/>
    <x v="0"/>
    <m/>
    <x v="0"/>
    <m/>
    <m/>
    <m/>
    <n v="0"/>
    <n v="0"/>
    <m/>
    <n v="0"/>
    <n v="0"/>
    <s v="—"/>
  </r>
  <r>
    <n v="24"/>
    <x v="0"/>
    <x v="0"/>
    <m/>
    <x v="0"/>
    <m/>
    <m/>
    <m/>
    <n v="0"/>
    <n v="0"/>
    <m/>
    <n v="0"/>
    <n v="0"/>
    <s v="—"/>
  </r>
  <r>
    <n v="25"/>
    <x v="0"/>
    <x v="0"/>
    <m/>
    <x v="0"/>
    <m/>
    <m/>
    <m/>
    <n v="0"/>
    <n v="0"/>
    <m/>
    <n v="0"/>
    <n v="0"/>
    <s v="—"/>
  </r>
  <r>
    <n v="26"/>
    <x v="0"/>
    <x v="0"/>
    <m/>
    <x v="0"/>
    <m/>
    <m/>
    <m/>
    <n v="0"/>
    <n v="0"/>
    <m/>
    <n v="0"/>
    <n v="0"/>
    <s v="—"/>
  </r>
  <r>
    <n v="27"/>
    <x v="0"/>
    <x v="0"/>
    <m/>
    <x v="0"/>
    <m/>
    <m/>
    <m/>
    <n v="0"/>
    <n v="0"/>
    <m/>
    <n v="0"/>
    <n v="0"/>
    <s v="—"/>
  </r>
  <r>
    <n v="28"/>
    <x v="0"/>
    <x v="0"/>
    <m/>
    <x v="0"/>
    <m/>
    <m/>
    <m/>
    <n v="0"/>
    <n v="0"/>
    <m/>
    <n v="0"/>
    <n v="0"/>
    <s v="—"/>
  </r>
  <r>
    <n v="29"/>
    <x v="0"/>
    <x v="0"/>
    <m/>
    <x v="0"/>
    <m/>
    <m/>
    <m/>
    <n v="0"/>
    <n v="0"/>
    <m/>
    <n v="0"/>
    <n v="0"/>
    <s v="—"/>
  </r>
  <r>
    <n v="30"/>
    <x v="0"/>
    <x v="0"/>
    <m/>
    <x v="0"/>
    <m/>
    <m/>
    <m/>
    <n v="0"/>
    <n v="0"/>
    <m/>
    <n v="0"/>
    <n v="0"/>
    <s v="—"/>
  </r>
  <r>
    <n v="31"/>
    <x v="0"/>
    <x v="0"/>
    <m/>
    <x v="0"/>
    <m/>
    <m/>
    <m/>
    <n v="0"/>
    <n v="0"/>
    <m/>
    <n v="0"/>
    <n v="0"/>
    <s v="—"/>
  </r>
  <r>
    <n v="32"/>
    <x v="0"/>
    <x v="0"/>
    <m/>
    <x v="0"/>
    <m/>
    <m/>
    <m/>
    <n v="0"/>
    <n v="0"/>
    <m/>
    <n v="0"/>
    <n v="0"/>
    <s v="—"/>
  </r>
  <r>
    <n v="33"/>
    <x v="0"/>
    <x v="0"/>
    <m/>
    <x v="0"/>
    <m/>
    <m/>
    <m/>
    <n v="0"/>
    <n v="0"/>
    <m/>
    <n v="0"/>
    <n v="0"/>
    <s v="—"/>
  </r>
  <r>
    <n v="34"/>
    <x v="0"/>
    <x v="0"/>
    <m/>
    <x v="0"/>
    <m/>
    <m/>
    <m/>
    <n v="0"/>
    <n v="0"/>
    <m/>
    <n v="0"/>
    <n v="0"/>
    <s v="—"/>
  </r>
  <r>
    <n v="35"/>
    <x v="0"/>
    <x v="0"/>
    <m/>
    <x v="0"/>
    <m/>
    <m/>
    <m/>
    <n v="0"/>
    <n v="0"/>
    <m/>
    <n v="0"/>
    <n v="0"/>
    <s v="—"/>
  </r>
  <r>
    <n v="36"/>
    <x v="0"/>
    <x v="0"/>
    <m/>
    <x v="0"/>
    <m/>
    <m/>
    <m/>
    <n v="0"/>
    <n v="0"/>
    <m/>
    <n v="0"/>
    <n v="0"/>
    <s v="—"/>
  </r>
  <r>
    <n v="37"/>
    <x v="0"/>
    <x v="0"/>
    <m/>
    <x v="0"/>
    <m/>
    <m/>
    <m/>
    <n v="0"/>
    <n v="0"/>
    <m/>
    <n v="0"/>
    <n v="0"/>
    <s v="—"/>
  </r>
  <r>
    <n v="38"/>
    <x v="0"/>
    <x v="0"/>
    <m/>
    <x v="0"/>
    <m/>
    <m/>
    <m/>
    <n v="0"/>
    <n v="0"/>
    <m/>
    <n v="0"/>
    <n v="0"/>
    <s v="—"/>
  </r>
  <r>
    <n v="39"/>
    <x v="0"/>
    <x v="0"/>
    <m/>
    <x v="0"/>
    <m/>
    <m/>
    <m/>
    <n v="0"/>
    <n v="0"/>
    <m/>
    <n v="0"/>
    <n v="0"/>
    <s v="—"/>
  </r>
  <r>
    <n v="40"/>
    <x v="0"/>
    <x v="0"/>
    <m/>
    <x v="0"/>
    <m/>
    <m/>
    <m/>
    <n v="0"/>
    <n v="0"/>
    <m/>
    <n v="0"/>
    <n v="0"/>
    <s v="—"/>
  </r>
  <r>
    <n v="41"/>
    <x v="0"/>
    <x v="0"/>
    <m/>
    <x v="0"/>
    <m/>
    <m/>
    <m/>
    <n v="0"/>
    <n v="0"/>
    <m/>
    <n v="0"/>
    <n v="0"/>
    <s v="—"/>
  </r>
  <r>
    <n v="42"/>
    <x v="0"/>
    <x v="0"/>
    <m/>
    <x v="0"/>
    <m/>
    <m/>
    <m/>
    <n v="0"/>
    <n v="0"/>
    <m/>
    <n v="0"/>
    <n v="0"/>
    <s v="—"/>
  </r>
  <r>
    <n v="43"/>
    <x v="0"/>
    <x v="0"/>
    <m/>
    <x v="0"/>
    <m/>
    <m/>
    <m/>
    <n v="0"/>
    <n v="0"/>
    <m/>
    <n v="0"/>
    <n v="0"/>
    <s v="—"/>
  </r>
  <r>
    <n v="44"/>
    <x v="0"/>
    <x v="0"/>
    <m/>
    <x v="0"/>
    <m/>
    <m/>
    <m/>
    <n v="0"/>
    <n v="0"/>
    <m/>
    <n v="0"/>
    <n v="0"/>
    <s v="—"/>
  </r>
  <r>
    <n v="45"/>
    <x v="0"/>
    <x v="0"/>
    <m/>
    <x v="0"/>
    <m/>
    <m/>
    <m/>
    <n v="0"/>
    <n v="0"/>
    <m/>
    <n v="0"/>
    <n v="0"/>
    <s v="—"/>
  </r>
  <r>
    <n v="46"/>
    <x v="0"/>
    <x v="0"/>
    <m/>
    <x v="0"/>
    <m/>
    <m/>
    <m/>
    <n v="0"/>
    <n v="0"/>
    <m/>
    <n v="0"/>
    <n v="0"/>
    <s v="—"/>
  </r>
  <r>
    <n v="47"/>
    <x v="0"/>
    <x v="0"/>
    <m/>
    <x v="0"/>
    <m/>
    <m/>
    <m/>
    <n v="0"/>
    <n v="0"/>
    <m/>
    <n v="0"/>
    <n v="0"/>
    <s v="—"/>
  </r>
  <r>
    <n v="48"/>
    <x v="0"/>
    <x v="0"/>
    <m/>
    <x v="0"/>
    <m/>
    <m/>
    <m/>
    <n v="0"/>
    <n v="0"/>
    <m/>
    <n v="0"/>
    <n v="0"/>
    <s v="—"/>
  </r>
  <r>
    <n v="49"/>
    <x v="0"/>
    <x v="0"/>
    <m/>
    <x v="0"/>
    <m/>
    <m/>
    <m/>
    <n v="0"/>
    <n v="0"/>
    <m/>
    <n v="0"/>
    <n v="0"/>
    <s v="—"/>
  </r>
  <r>
    <n v="50"/>
    <x v="0"/>
    <x v="0"/>
    <m/>
    <x v="0"/>
    <m/>
    <m/>
    <m/>
    <n v="0"/>
    <n v="0"/>
    <m/>
    <n v="0"/>
    <n v="0"/>
    <s v="—"/>
  </r>
  <r>
    <n v="51"/>
    <x v="0"/>
    <x v="0"/>
    <m/>
    <x v="0"/>
    <m/>
    <m/>
    <m/>
    <n v="0"/>
    <n v="0"/>
    <m/>
    <n v="0"/>
    <n v="0"/>
    <s v="—"/>
  </r>
  <r>
    <n v="52"/>
    <x v="0"/>
    <x v="0"/>
    <m/>
    <x v="0"/>
    <m/>
    <m/>
    <m/>
    <n v="0"/>
    <n v="0"/>
    <m/>
    <n v="0"/>
    <n v="0"/>
    <s v="—"/>
  </r>
  <r>
    <n v="53"/>
    <x v="0"/>
    <x v="0"/>
    <m/>
    <x v="0"/>
    <m/>
    <m/>
    <m/>
    <n v="0"/>
    <n v="0"/>
    <m/>
    <n v="0"/>
    <n v="0"/>
    <s v="—"/>
  </r>
  <r>
    <n v="54"/>
    <x v="0"/>
    <x v="0"/>
    <m/>
    <x v="0"/>
    <m/>
    <m/>
    <m/>
    <n v="0"/>
    <n v="0"/>
    <m/>
    <n v="0"/>
    <n v="0"/>
    <s v="—"/>
  </r>
  <r>
    <n v="55"/>
    <x v="0"/>
    <x v="0"/>
    <m/>
    <x v="0"/>
    <m/>
    <m/>
    <m/>
    <n v="0"/>
    <n v="0"/>
    <m/>
    <n v="0"/>
    <n v="0"/>
    <s v="—"/>
  </r>
  <r>
    <n v="56"/>
    <x v="0"/>
    <x v="0"/>
    <m/>
    <x v="0"/>
    <m/>
    <m/>
    <m/>
    <n v="0"/>
    <n v="0"/>
    <m/>
    <n v="0"/>
    <n v="0"/>
    <s v="—"/>
  </r>
  <r>
    <n v="57"/>
    <x v="0"/>
    <x v="0"/>
    <m/>
    <x v="0"/>
    <m/>
    <m/>
    <m/>
    <n v="0"/>
    <n v="0"/>
    <m/>
    <n v="0"/>
    <n v="0"/>
    <s v="—"/>
  </r>
  <r>
    <n v="58"/>
    <x v="0"/>
    <x v="0"/>
    <m/>
    <x v="0"/>
    <m/>
    <m/>
    <m/>
    <n v="0"/>
    <n v="0"/>
    <m/>
    <n v="0"/>
    <n v="0"/>
    <s v="—"/>
  </r>
  <r>
    <n v="59"/>
    <x v="0"/>
    <x v="0"/>
    <m/>
    <x v="0"/>
    <m/>
    <m/>
    <m/>
    <n v="0"/>
    <n v="0"/>
    <m/>
    <n v="0"/>
    <n v="0"/>
    <s v="—"/>
  </r>
  <r>
    <n v="60"/>
    <x v="0"/>
    <x v="0"/>
    <m/>
    <x v="0"/>
    <m/>
    <m/>
    <m/>
    <n v="0"/>
    <n v="0"/>
    <m/>
    <n v="0"/>
    <n v="0"/>
    <s v="—"/>
  </r>
  <r>
    <n v="61"/>
    <x v="0"/>
    <x v="0"/>
    <m/>
    <x v="0"/>
    <m/>
    <m/>
    <m/>
    <n v="0"/>
    <n v="0"/>
    <m/>
    <n v="0"/>
    <n v="0"/>
    <s v="—"/>
  </r>
  <r>
    <n v="62"/>
    <x v="0"/>
    <x v="0"/>
    <m/>
    <x v="0"/>
    <m/>
    <m/>
    <m/>
    <n v="0"/>
    <n v="0"/>
    <m/>
    <n v="0"/>
    <n v="0"/>
    <s v="—"/>
  </r>
  <r>
    <n v="63"/>
    <x v="0"/>
    <x v="0"/>
    <m/>
    <x v="0"/>
    <m/>
    <m/>
    <m/>
    <n v="0"/>
    <n v="0"/>
    <m/>
    <n v="0"/>
    <n v="0"/>
    <s v="—"/>
  </r>
  <r>
    <n v="64"/>
    <x v="0"/>
    <x v="0"/>
    <m/>
    <x v="0"/>
    <m/>
    <m/>
    <m/>
    <n v="0"/>
    <n v="0"/>
    <m/>
    <n v="0"/>
    <n v="0"/>
    <s v="—"/>
  </r>
  <r>
    <n v="65"/>
    <x v="0"/>
    <x v="0"/>
    <m/>
    <x v="0"/>
    <m/>
    <m/>
    <m/>
    <n v="0"/>
    <n v="0"/>
    <m/>
    <n v="0"/>
    <n v="0"/>
    <s v="—"/>
  </r>
  <r>
    <n v="66"/>
    <x v="0"/>
    <x v="0"/>
    <m/>
    <x v="0"/>
    <m/>
    <m/>
    <m/>
    <n v="0"/>
    <n v="0"/>
    <m/>
    <n v="0"/>
    <n v="0"/>
    <s v="—"/>
  </r>
  <r>
    <n v="67"/>
    <x v="0"/>
    <x v="0"/>
    <m/>
    <x v="0"/>
    <m/>
    <m/>
    <m/>
    <n v="0"/>
    <n v="0"/>
    <m/>
    <n v="0"/>
    <n v="0"/>
    <s v="—"/>
  </r>
  <r>
    <n v="68"/>
    <x v="0"/>
    <x v="0"/>
    <m/>
    <x v="0"/>
    <m/>
    <m/>
    <m/>
    <n v="0"/>
    <n v="0"/>
    <m/>
    <n v="0"/>
    <n v="0"/>
    <s v="—"/>
  </r>
  <r>
    <n v="69"/>
    <x v="0"/>
    <x v="0"/>
    <m/>
    <x v="0"/>
    <m/>
    <m/>
    <m/>
    <n v="0"/>
    <n v="0"/>
    <m/>
    <n v="0"/>
    <n v="0"/>
    <s v="—"/>
  </r>
  <r>
    <n v="70"/>
    <x v="0"/>
    <x v="0"/>
    <m/>
    <x v="0"/>
    <m/>
    <m/>
    <m/>
    <n v="0"/>
    <n v="0"/>
    <m/>
    <n v="0"/>
    <n v="0"/>
    <s v="—"/>
  </r>
  <r>
    <n v="71"/>
    <x v="0"/>
    <x v="0"/>
    <m/>
    <x v="0"/>
    <m/>
    <m/>
    <m/>
    <n v="0"/>
    <n v="0"/>
    <m/>
    <n v="0"/>
    <n v="0"/>
    <s v="—"/>
  </r>
  <r>
    <n v="72"/>
    <x v="0"/>
    <x v="0"/>
    <m/>
    <x v="0"/>
    <m/>
    <m/>
    <m/>
    <n v="0"/>
    <n v="0"/>
    <m/>
    <n v="0"/>
    <n v="0"/>
    <s v="—"/>
  </r>
  <r>
    <n v="73"/>
    <x v="0"/>
    <x v="0"/>
    <m/>
    <x v="0"/>
    <m/>
    <m/>
    <m/>
    <n v="0"/>
    <n v="0"/>
    <m/>
    <n v="0"/>
    <n v="0"/>
    <s v="—"/>
  </r>
  <r>
    <n v="74"/>
    <x v="0"/>
    <x v="0"/>
    <m/>
    <x v="0"/>
    <m/>
    <m/>
    <m/>
    <n v="0"/>
    <n v="0"/>
    <m/>
    <n v="0"/>
    <n v="0"/>
    <s v="—"/>
  </r>
  <r>
    <n v="75"/>
    <x v="0"/>
    <x v="0"/>
    <m/>
    <x v="0"/>
    <m/>
    <m/>
    <m/>
    <n v="0"/>
    <n v="0"/>
    <m/>
    <n v="0"/>
    <n v="0"/>
    <s v="—"/>
  </r>
  <r>
    <n v="76"/>
    <x v="0"/>
    <x v="0"/>
    <m/>
    <x v="0"/>
    <m/>
    <m/>
    <m/>
    <n v="0"/>
    <n v="0"/>
    <m/>
    <n v="0"/>
    <n v="0"/>
    <s v="—"/>
  </r>
  <r>
    <n v="77"/>
    <x v="0"/>
    <x v="0"/>
    <m/>
    <x v="0"/>
    <m/>
    <m/>
    <m/>
    <n v="0"/>
    <n v="0"/>
    <m/>
    <n v="0"/>
    <n v="0"/>
    <s v="—"/>
  </r>
  <r>
    <n v="78"/>
    <x v="0"/>
    <x v="0"/>
    <m/>
    <x v="0"/>
    <m/>
    <m/>
    <m/>
    <n v="0"/>
    <n v="0"/>
    <m/>
    <n v="0"/>
    <n v="0"/>
    <s v="—"/>
  </r>
  <r>
    <n v="79"/>
    <x v="0"/>
    <x v="0"/>
    <m/>
    <x v="0"/>
    <m/>
    <m/>
    <m/>
    <n v="0"/>
    <n v="0"/>
    <m/>
    <n v="0"/>
    <n v="0"/>
    <s v="—"/>
  </r>
  <r>
    <n v="80"/>
    <x v="0"/>
    <x v="0"/>
    <m/>
    <x v="0"/>
    <m/>
    <m/>
    <m/>
    <n v="0"/>
    <n v="0"/>
    <m/>
    <n v="0"/>
    <n v="0"/>
    <s v="—"/>
  </r>
  <r>
    <n v="81"/>
    <x v="0"/>
    <x v="0"/>
    <m/>
    <x v="0"/>
    <m/>
    <m/>
    <m/>
    <n v="0"/>
    <n v="0"/>
    <m/>
    <n v="0"/>
    <n v="0"/>
    <s v="—"/>
  </r>
  <r>
    <n v="82"/>
    <x v="0"/>
    <x v="0"/>
    <m/>
    <x v="0"/>
    <m/>
    <m/>
    <m/>
    <n v="0"/>
    <n v="0"/>
    <m/>
    <n v="0"/>
    <n v="0"/>
    <s v="—"/>
  </r>
  <r>
    <n v="83"/>
    <x v="0"/>
    <x v="0"/>
    <m/>
    <x v="0"/>
    <m/>
    <m/>
    <m/>
    <n v="0"/>
    <n v="0"/>
    <m/>
    <n v="0"/>
    <n v="0"/>
    <s v="—"/>
  </r>
  <r>
    <n v="84"/>
    <x v="0"/>
    <x v="0"/>
    <m/>
    <x v="0"/>
    <m/>
    <m/>
    <m/>
    <n v="0"/>
    <n v="0"/>
    <m/>
    <n v="0"/>
    <n v="0"/>
    <s v="—"/>
  </r>
  <r>
    <n v="85"/>
    <x v="0"/>
    <x v="0"/>
    <m/>
    <x v="0"/>
    <m/>
    <m/>
    <m/>
    <n v="0"/>
    <n v="0"/>
    <m/>
    <n v="0"/>
    <n v="0"/>
    <s v="—"/>
  </r>
  <r>
    <n v="86"/>
    <x v="0"/>
    <x v="0"/>
    <m/>
    <x v="0"/>
    <m/>
    <m/>
    <m/>
    <n v="0"/>
    <n v="0"/>
    <m/>
    <n v="0"/>
    <n v="0"/>
    <s v="—"/>
  </r>
  <r>
    <n v="87"/>
    <x v="0"/>
    <x v="0"/>
    <m/>
    <x v="0"/>
    <m/>
    <m/>
    <m/>
    <n v="0"/>
    <n v="0"/>
    <m/>
    <n v="0"/>
    <n v="0"/>
    <s v="—"/>
  </r>
  <r>
    <n v="88"/>
    <x v="0"/>
    <x v="0"/>
    <m/>
    <x v="0"/>
    <m/>
    <m/>
    <m/>
    <n v="0"/>
    <n v="0"/>
    <m/>
    <n v="0"/>
    <n v="0"/>
    <s v="—"/>
  </r>
  <r>
    <n v="89"/>
    <x v="0"/>
    <x v="0"/>
    <m/>
    <x v="0"/>
    <m/>
    <m/>
    <m/>
    <n v="0"/>
    <n v="0"/>
    <m/>
    <n v="0"/>
    <n v="0"/>
    <s v="—"/>
  </r>
  <r>
    <n v="90"/>
    <x v="0"/>
    <x v="0"/>
    <m/>
    <x v="0"/>
    <m/>
    <m/>
    <m/>
    <n v="0"/>
    <n v="0"/>
    <m/>
    <n v="0"/>
    <n v="0"/>
    <s v="—"/>
  </r>
  <r>
    <n v="91"/>
    <x v="0"/>
    <x v="0"/>
    <m/>
    <x v="0"/>
    <m/>
    <m/>
    <m/>
    <n v="0"/>
    <n v="0"/>
    <m/>
    <n v="0"/>
    <n v="0"/>
    <s v="—"/>
  </r>
  <r>
    <n v="92"/>
    <x v="0"/>
    <x v="0"/>
    <m/>
    <x v="0"/>
    <m/>
    <m/>
    <m/>
    <n v="0"/>
    <n v="0"/>
    <m/>
    <n v="0"/>
    <n v="0"/>
    <s v="—"/>
  </r>
  <r>
    <n v="93"/>
    <x v="0"/>
    <x v="0"/>
    <m/>
    <x v="0"/>
    <m/>
    <m/>
    <m/>
    <n v="0"/>
    <n v="0"/>
    <m/>
    <n v="0"/>
    <n v="0"/>
    <s v="—"/>
  </r>
  <r>
    <n v="94"/>
    <x v="0"/>
    <x v="0"/>
    <m/>
    <x v="0"/>
    <m/>
    <m/>
    <m/>
    <n v="0"/>
    <n v="0"/>
    <m/>
    <n v="0"/>
    <n v="0"/>
    <s v="—"/>
  </r>
  <r>
    <n v="95"/>
    <x v="0"/>
    <x v="0"/>
    <m/>
    <x v="0"/>
    <m/>
    <m/>
    <m/>
    <n v="0"/>
    <n v="0"/>
    <m/>
    <n v="0"/>
    <n v="0"/>
    <s v="—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EC044-DA53-49A6-AC40-D1B309819FAD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s">
  <location ref="A31:G32" firstHeaderRow="0" firstDataRow="1" firstDataCol="1"/>
  <pivotFields count="16">
    <pivotField showAll="0"/>
    <pivotField showAll="0">
      <items count="11">
        <item m="1" x="1"/>
        <item m="1" x="2"/>
        <item m="1" x="3"/>
        <item m="1" x="4"/>
        <item m="1" x="5"/>
        <item m="1" x="6"/>
        <item m="1" x="7"/>
        <item m="1" x="8"/>
        <item m="1" x="9"/>
        <item x="0"/>
        <item t="default"/>
      </items>
    </pivotField>
    <pivotField axis="axisRow" dataField="1" showAll="0">
      <items count="5">
        <item h="1" m="1" x="2"/>
        <item m="1" x="3"/>
        <item m="1" x="1"/>
        <item h="1" x="0"/>
        <item t="default"/>
      </items>
    </pivotField>
    <pivotField showAll="0"/>
    <pivotField showAll="0"/>
    <pivotField showAll="0"/>
    <pivotField dataField="1" showAll="0"/>
    <pivotField dataField="1" showAll="0"/>
    <pivotField dataField="1" numFmtId="164" showAll="0"/>
    <pivotField dataField="1" numFmtId="164" showAll="0"/>
    <pivotField showAll="0"/>
    <pivotField numFmtId="168" showAll="0"/>
    <pivotField dataField="1" numFmtId="168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"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Revenue" fld="6" baseField="2" baseItem="1" numFmtId="176"/>
    <dataField name="Production Cost (IDR)" fld="8" baseField="2" baseItem="1" numFmtId="176"/>
    <dataField name="Platform Fee" fld="9" baseField="2" baseItem="1" numFmtId="176"/>
    <dataField name="Net Profit (IDR)" fld="12" baseField="2" baseItem="1" numFmtId="176"/>
    <dataField name="Items Sold" fld="7" baseField="2" baseItem="1"/>
    <dataField name="Number of Orders" fld="2" subtotal="count" baseField="2" baseItem="1"/>
  </dataFields>
  <formats count="26">
    <format dxfId="280">
      <pivotArea field="2" type="button" dataOnly="0" labelOnly="1" outline="0" axis="axisRow" fieldPosition="0"/>
    </format>
    <format dxfId="2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78">
      <pivotArea grandRow="1" outline="0" collapsedLevelsAreSubtotals="1" fieldPosition="0"/>
    </format>
    <format dxfId="277">
      <pivotArea dataOnly="0" labelOnly="1" grandRow="1" outline="0" fieldPosition="0"/>
    </format>
    <format dxfId="276">
      <pivotArea collapsedLevelsAreSubtotals="1" fieldPosition="0">
        <references count="1">
          <reference field="2" count="0"/>
        </references>
      </pivotArea>
    </format>
    <format dxfId="275">
      <pivotArea dataOnly="0" labelOnly="1" fieldPosition="0">
        <references count="1">
          <reference field="2" count="0"/>
        </references>
      </pivotArea>
    </format>
    <format dxfId="274">
      <pivotArea type="all" dataOnly="0" outline="0" fieldPosition="0"/>
    </format>
    <format dxfId="273">
      <pivotArea outline="0" collapsedLevelsAreSubtotals="1" fieldPosition="0"/>
    </format>
    <format dxfId="272">
      <pivotArea field="2" type="button" dataOnly="0" labelOnly="1" outline="0" axis="axisRow" fieldPosition="0"/>
    </format>
    <format dxfId="271">
      <pivotArea dataOnly="0" labelOnly="1" fieldPosition="0">
        <references count="1">
          <reference field="2" count="0"/>
        </references>
      </pivotArea>
    </format>
    <format dxfId="270">
      <pivotArea dataOnly="0" labelOnly="1" grandRow="1" outline="0" fieldPosition="0"/>
    </format>
    <format dxfId="26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4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162">
      <pivotArea dataOnly="0" fieldPosition="0">
        <references count="1">
          <reference field="2" count="0"/>
        </references>
      </pivotArea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2" type="button" dataOnly="0" labelOnly="1" outline="0" axis="axisRow" fieldPosition="0"/>
    </format>
    <format dxfId="158">
      <pivotArea dataOnly="0" labelOnly="1" fieldPosition="0">
        <references count="1">
          <reference field="2" count="0"/>
        </references>
      </pivotArea>
    </format>
    <format dxfId="157">
      <pivotArea dataOnly="0" labelOnly="1" grandRow="1" outline="0" fieldPosition="0"/>
    </format>
    <format dxfId="15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2" type="button" dataOnly="0" labelOnly="1" outline="0" axis="axisRow" fieldPosition="0"/>
    </format>
    <format dxfId="152">
      <pivotArea dataOnly="0" labelOnly="1" fieldPosition="0">
        <references count="1">
          <reference field="2" count="0"/>
        </references>
      </pivotArea>
    </format>
    <format dxfId="151">
      <pivotArea dataOnly="0" labelOnly="1" grandRow="1" outline="0" fieldPosition="0"/>
    </format>
    <format dxfId="15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BE87A-DB51-4D66-B6C9-7226D407ED18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19:D20" firstHeaderRow="0" firstDataRow="1" firstDataCol="1"/>
  <pivotFields count="16">
    <pivotField showAll="0"/>
    <pivotField showAll="0">
      <items count="11">
        <item m="1" x="1"/>
        <item m="1" x="2"/>
        <item m="1" x="3"/>
        <item m="1" x="4"/>
        <item m="1" x="5"/>
        <item m="1" x="6"/>
        <item m="1" x="7"/>
        <item m="1" x="8"/>
        <item m="1" x="9"/>
        <item x="0"/>
        <item t="default"/>
      </items>
    </pivotField>
    <pivotField showAll="0"/>
    <pivotField showAll="0"/>
    <pivotField axis="axisRow" showAll="0" sortType="descending">
      <items count="10">
        <item m="1" x="6"/>
        <item m="1" x="1"/>
        <item m="1" x="2"/>
        <item m="1" x="7"/>
        <item m="1" x="5"/>
        <item m="1" x="4"/>
        <item m="1" x="8"/>
        <item m="1" x="3"/>
        <item h="1"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dataField="1" showAll="0"/>
    <pivotField numFmtId="164" showAll="0"/>
    <pivotField numFmtId="164" showAll="0"/>
    <pivotField showAll="0"/>
    <pivotField numFmtId="168" showAll="0"/>
    <pivotField dataField="1" numFmtId="168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1"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 Per Item" fld="6" baseField="4" baseItem="0" numFmtId="2"/>
    <dataField name="Items Sold" fld="7" baseField="4" baseItem="0"/>
    <dataField name="Net Profit Per Item" fld="12" baseField="4" baseItem="0" numFmtId="2"/>
  </dataFields>
  <formats count="33">
    <format dxfId="647">
      <pivotArea type="all" dataOnly="0" outline="0" fieldPosition="0"/>
    </format>
    <format dxfId="646">
      <pivotArea outline="0" collapsedLevelsAreSubtotals="1" fieldPosition="0"/>
    </format>
    <format dxfId="645">
      <pivotArea field="4" type="button" dataOnly="0" labelOnly="1" outline="0" axis="axisRow" fieldPosition="0"/>
    </format>
    <format dxfId="644">
      <pivotArea dataOnly="0" labelOnly="1" fieldPosition="0">
        <references count="1">
          <reference field="4" count="0"/>
        </references>
      </pivotArea>
    </format>
    <format dxfId="643">
      <pivotArea dataOnly="0" labelOnly="1" grandRow="1" outline="0" fieldPosition="0"/>
    </format>
    <format dxfId="6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41">
      <pivotArea type="all" dataOnly="0" outline="0" fieldPosition="0"/>
    </format>
    <format dxfId="640">
      <pivotArea outline="0" collapsedLevelsAreSubtotals="1" fieldPosition="0"/>
    </format>
    <format dxfId="639">
      <pivotArea field="4" type="button" dataOnly="0" labelOnly="1" outline="0" axis="axisRow" fieldPosition="0"/>
    </format>
    <format dxfId="638">
      <pivotArea dataOnly="0" labelOnly="1" fieldPosition="0">
        <references count="1">
          <reference field="4" count="0"/>
        </references>
      </pivotArea>
    </format>
    <format dxfId="637">
      <pivotArea dataOnly="0" labelOnly="1" grandRow="1" outline="0" fieldPosition="0"/>
    </format>
    <format dxfId="6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35">
      <pivotArea type="all" dataOnly="0" outline="0" fieldPosition="0"/>
    </format>
    <format dxfId="634">
      <pivotArea outline="0" collapsedLevelsAreSubtotals="1" fieldPosition="0"/>
    </format>
    <format dxfId="633">
      <pivotArea field="4" type="button" dataOnly="0" labelOnly="1" outline="0" axis="axisRow" fieldPosition="0"/>
    </format>
    <format dxfId="632">
      <pivotArea dataOnly="0" labelOnly="1" fieldPosition="0">
        <references count="1">
          <reference field="4" count="0"/>
        </references>
      </pivotArea>
    </format>
    <format dxfId="631">
      <pivotArea dataOnly="0" labelOnly="1" grandRow="1" outline="0" fieldPosition="0"/>
    </format>
    <format dxfId="6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9">
      <pivotArea field="4" type="button" dataOnly="0" labelOnly="1" outline="0" axis="axisRow" fieldPosition="0"/>
    </format>
    <format dxfId="6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7">
      <pivotArea field="4" type="button" dataOnly="0" labelOnly="1" outline="0" axis="axisRow" fieldPosition="0"/>
    </format>
    <format dxfId="6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97">
      <pivotArea collapsedLevelsAreSubtotals="1" fieldPosition="0">
        <references count="1">
          <reference field="4" count="0"/>
        </references>
      </pivotArea>
    </format>
    <format dxfId="596">
      <pivotArea dataOnly="0" labelOnly="1" fieldPosition="0">
        <references count="1">
          <reference field="4" count="0"/>
        </references>
      </pivotArea>
    </format>
    <format dxfId="595">
      <pivotArea grandRow="1" outline="0" collapsedLevelsAreSubtotals="1" fieldPosition="0"/>
    </format>
    <format dxfId="594">
      <pivotArea dataOnly="0" labelOnly="1" grandRow="1" outline="0" fieldPosition="0"/>
    </format>
    <format dxfId="3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7">
      <pivotArea outline="0" collapsedLevelsAreSubtotals="1" fieldPosition="0"/>
    </format>
    <format dxfId="181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179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06">
      <pivotArea collapsedLevelsAreSubtotals="1" fieldPosition="0">
        <references count="1">
          <reference field="4" count="0"/>
        </references>
      </pivotArea>
    </format>
    <format dxfId="105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BCD92-0A08-49AB-8B15-D404763B6DB1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(s)">
  <location ref="A36:G37" firstHeaderRow="0" firstDataRow="1" firstDataCol="1"/>
  <pivotFields count="16">
    <pivotField showAll="0"/>
    <pivotField showAll="0">
      <items count="11">
        <item m="1" x="1"/>
        <item m="1" x="2"/>
        <item m="1" x="3"/>
        <item m="1" x="4"/>
        <item m="1" x="5"/>
        <item m="1" x="6"/>
        <item m="1" x="7"/>
        <item m="1" x="8"/>
        <item x="0"/>
        <item m="1" x="9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numFmtId="164" showAll="0"/>
    <pivotField dataField="1" numFmtId="164" showAll="0"/>
    <pivotField dataField="1" showAll="0"/>
    <pivotField numFmtId="164" showAll="0"/>
    <pivotField dataField="1" numFmtId="164"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15"/>
  </rowFields>
  <rowItems count="1"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Revenue (IDR)" fld="6" baseField="14" baseItem="3" numFmtId="176"/>
    <dataField name="Production Cost (IDR)" fld="8" baseField="14" baseItem="3" numFmtId="176"/>
    <dataField name="Platform Fees (IDR)" fld="9" baseField="14" baseItem="3" numFmtId="176"/>
    <dataField name="Other Costs (IDR)" fld="10" baseField="14" baseItem="3" numFmtId="176"/>
    <dataField name="Net Profit (IDR)" fld="12" baseField="14" baseItem="3" numFmtId="176"/>
    <dataField name="Total Qty Sold" fld="7" baseField="14" baseItem="3" numFmtId="169"/>
  </dataFields>
  <formats count="41">
    <format dxfId="598">
      <pivotArea type="all" dataOnly="0" outline="0" fieldPosition="0"/>
    </format>
    <format dxfId="599">
      <pivotArea outline="0" collapsedLevelsAreSubtotals="1" fieldPosition="0"/>
    </format>
    <format dxfId="600">
      <pivotArea field="15" type="button" dataOnly="0" labelOnly="1" outline="0" axis="axisRow" fieldPosition="0"/>
    </format>
    <format dxfId="601">
      <pivotArea dataOnly="0" labelOnly="1" fieldPosition="0">
        <references count="1">
          <reference field="15" count="2">
            <x v="3"/>
            <x v="4"/>
          </reference>
        </references>
      </pivotArea>
    </format>
    <format dxfId="602">
      <pivotArea dataOnly="0" labelOnly="1" grandRow="1" outline="0" fieldPosition="0"/>
    </format>
    <format dxfId="60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04">
      <pivotArea type="all" dataOnly="0" outline="0" fieldPosition="0"/>
    </format>
    <format dxfId="605">
      <pivotArea outline="0" collapsedLevelsAreSubtotals="1" fieldPosition="0"/>
    </format>
    <format dxfId="606">
      <pivotArea field="15" type="button" dataOnly="0" labelOnly="1" outline="0" axis="axisRow" fieldPosition="0"/>
    </format>
    <format dxfId="607">
      <pivotArea dataOnly="0" labelOnly="1" fieldPosition="0">
        <references count="1">
          <reference field="15" count="2">
            <x v="3"/>
            <x v="4"/>
          </reference>
        </references>
      </pivotArea>
    </format>
    <format dxfId="608">
      <pivotArea dataOnly="0" labelOnly="1" grandRow="1" outline="0" fieldPosition="0"/>
    </format>
    <format dxfId="60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0">
      <pivotArea type="all" dataOnly="0" outline="0" fieldPosition="0"/>
    </format>
    <format dxfId="611">
      <pivotArea outline="0" collapsedLevelsAreSubtotals="1" fieldPosition="0"/>
    </format>
    <format dxfId="612">
      <pivotArea field="15" type="button" dataOnly="0" labelOnly="1" outline="0" axis="axisRow" fieldPosition="0"/>
    </format>
    <format dxfId="613">
      <pivotArea dataOnly="0" labelOnly="1" fieldPosition="0">
        <references count="1">
          <reference field="15" count="2">
            <x v="3"/>
            <x v="4"/>
          </reference>
        </references>
      </pivotArea>
    </format>
    <format dxfId="614">
      <pivotArea dataOnly="0" labelOnly="1" grandRow="1" outline="0" fieldPosition="0"/>
    </format>
    <format dxfId="61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6">
      <pivotArea type="all" dataOnly="0" outline="0" fieldPosition="0"/>
    </format>
    <format dxfId="617">
      <pivotArea outline="0" collapsedLevelsAreSubtotals="1" fieldPosition="0"/>
    </format>
    <format dxfId="618">
      <pivotArea field="15" type="button" dataOnly="0" labelOnly="1" outline="0" axis="axisRow" fieldPosition="0"/>
    </format>
    <format dxfId="619">
      <pivotArea dataOnly="0" labelOnly="1" fieldPosition="0">
        <references count="1">
          <reference field="15" count="2">
            <x v="3"/>
            <x v="4"/>
          </reference>
        </references>
      </pivotArea>
    </format>
    <format dxfId="620">
      <pivotArea dataOnly="0" labelOnly="1" grandRow="1" outline="0" fieldPosition="0"/>
    </format>
    <format dxfId="62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22">
      <pivotArea collapsedLevelsAreSubtotals="1" fieldPosition="0">
        <references count="1">
          <reference field="15" count="2">
            <x v="3"/>
            <x v="4"/>
          </reference>
        </references>
      </pivotArea>
    </format>
    <format dxfId="623">
      <pivotArea dataOnly="0" labelOnly="1" fieldPosition="0">
        <references count="1">
          <reference field="15" count="2">
            <x v="3"/>
            <x v="4"/>
          </reference>
        </references>
      </pivotArea>
    </format>
    <format dxfId="624">
      <pivotArea outline="0" collapsedLevelsAreSubtotals="1" fieldPosition="0"/>
    </format>
    <format dxfId="625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68">
      <pivotArea field="15" type="button" dataOnly="0" labelOnly="1" outline="0" axis="axisRow" fieldPosition="0"/>
    </format>
    <format dxfId="26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66">
      <pivotArea grandRow="1" outline="0" collapsedLevelsAreSubtotals="1" fieldPosition="0"/>
    </format>
    <format dxfId="265">
      <pivotArea dataOnly="0" labelOnly="1" grandRow="1" outline="0" fieldPosition="0"/>
    </format>
    <format dxfId="264">
      <pivotArea collapsedLevelsAreSubtotals="1" fieldPosition="0">
        <references count="1">
          <reference field="15" count="2">
            <x v="3"/>
            <x v="4"/>
          </reference>
        </references>
      </pivotArea>
    </format>
    <format dxfId="263">
      <pivotArea dataOnly="0" labelOnly="1" fieldPosition="0">
        <references count="1">
          <reference field="15" count="2">
            <x v="3"/>
            <x v="4"/>
          </reference>
        </references>
      </pivotArea>
    </format>
    <format dxfId="262">
      <pivotArea field="15" type="button" dataOnly="0" labelOnly="1" outline="0" axis="axisRow" fieldPosition="0"/>
    </format>
    <format dxfId="2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60">
      <pivotArea grandRow="1" outline="0" collapsedLevelsAreSubtotals="1" fieldPosition="0"/>
    </format>
    <format dxfId="259">
      <pivotArea dataOnly="0" labelOnly="1" grandRow="1" outline="0" fieldPosition="0"/>
    </format>
    <format dxfId="110">
      <pivotArea outline="0" collapsedLevelsAreSubtotals="1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108">
      <pivotArea dataOnly="0" labelOnly="1" fieldPosition="0">
        <references count="1">
          <reference field="15" count="2">
            <x v="3"/>
            <x v="4"/>
          </reference>
        </references>
      </pivotArea>
    </format>
    <format dxfId="107">
      <pivotArea dataOnly="0" labelOnly="1" grandRow="1" outline="0" fieldPosition="0"/>
    </format>
  </formats>
  <pivotTableStyleInfo name="PivotStyleDark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315342-E211-4A16-A7C0-03DCA07AB667}" name="OrderTable" displayName="OrderTable" ref="A4:N99" totalsRowShown="0" headerRowDxfId="648" dataDxfId="649" headerRowBorderDxfId="665" tableBorderDxfId="666" totalsRowBorderDxfId="664">
  <autoFilter ref="A4:N99" xr:uid="{78315342-E211-4A16-A7C0-03DCA07AB667}"/>
  <tableColumns count="14">
    <tableColumn id="1" xr3:uid="{F1D55C8C-2759-4471-AA36-7CC809232C7F}" name="No" dataDxfId="663">
      <calculatedColumnFormula>ROW()-4</calculatedColumnFormula>
    </tableColumn>
    <tableColumn id="2" xr3:uid="{34EF3704-3D01-4608-A39F-CB7399B83CEB}" name="Date" dataDxfId="662"/>
    <tableColumn id="3" xr3:uid="{A1B613E4-FBA4-4253-AA62-2F5E115E0E35}" name="Platform" dataDxfId="661"/>
    <tableColumn id="4" xr3:uid="{3766DF26-B552-48DB-8022-8A2558FFA19E}" name="Resi / Order ID" dataDxfId="660"/>
    <tableColumn id="5" xr3:uid="{86EA84A5-256F-4446-BE05-FDA0883CEF71}" name="Product Name" dataDxfId="659"/>
    <tableColumn id="6" xr3:uid="{A7576709-C74C-4B72-8FE9-D40ECA53A04D}" name="Variant" dataDxfId="658"/>
    <tableColumn id="7" xr3:uid="{85BB0B11-D44D-441E-B206-602F3610E645}" name="Revenue (IDR)" dataDxfId="657"/>
    <tableColumn id="8" xr3:uid="{D168C59A-3308-450C-94B4-CDE961721228}" name="Qty" dataDxfId="656"/>
    <tableColumn id="9" xr3:uid="{E04DC2A1-767A-404B-BEFF-B76C3AC9C445}" name="Production Cost" dataDxfId="655">
      <calculatedColumnFormula>IFERROR(VLOOKUP(E5&amp;F5,'Products &amp; Costs'!$A$4:$C$21,3,FALSE()),IFERROR(VLOOKUP(E5,'Products &amp; Costs'!$A$4:$C$21,3,FALSE()),0))</calculatedColumnFormula>
    </tableColumn>
    <tableColumn id="10" xr3:uid="{0D1C096C-04E1-4653-8B76-890FFCF63FC7}" name="Platform Fee (IDR)" dataDxfId="654">
      <calculatedColumnFormula>IFERROR(IF(C5="Tokopedia",IFERROR(VLOOKUP(E5,'Products &amp; Costs'!$A$4:$E$21,4,FALSE()),0.05)*G5,IF(C5="Shopee",IFERROR(VLOOKUP(E5,'Products &amp; Costs'!$A$4:$E$21,5,FALSE()),0.035)*G5,0)),0)</calculatedColumnFormula>
    </tableColumn>
    <tableColumn id="11" xr3:uid="{DC0403B1-F3CD-4301-AD80-0DD8F7153B7D}" name="Other Costs" dataDxfId="653"/>
    <tableColumn id="12" xr3:uid="{80D12EB3-3427-4E46-81A1-0DF19013DAE8}" name="Gross Profit" dataDxfId="652">
      <calculatedColumnFormula>IFERROR(G5-(I5*H5),0)</calculatedColumnFormula>
    </tableColumn>
    <tableColumn id="13" xr3:uid="{6F2290E1-F5BC-4F14-B6ED-B06FC4F996C4}" name="Net Profit" dataDxfId="651">
      <calculatedColumnFormula>IFERROR(L5-J5-IF(K5="",0,K5),0)</calculatedColumnFormula>
    </tableColumn>
    <tableColumn id="14" xr3:uid="{119E72B1-68D5-4B42-B7E3-FAA91EFEF8AF}" name="Status" dataDxfId="650">
      <calculatedColumnFormula>IF(M5&gt;0,"✅ Profit",IF(M5&lt;0,"❌ Loss","—"))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2D3C87-8D81-4AF6-A71C-14249B2241BB}" name="ProductTable" displayName="ProductTable" ref="A3:D12" totalsRowShown="0" headerRowDxfId="681" dataDxfId="679" headerRowBorderDxfId="680" tableBorderDxfId="678" totalsRowBorderDxfId="677">
  <autoFilter ref="A3:D12" xr:uid="{B02D3C87-8D81-4AF6-A71C-14249B2241BB}"/>
  <tableColumns count="4">
    <tableColumn id="1" xr3:uid="{8C6C0825-9714-4292-9F93-7AF76850EF31}" name="Product Name" dataDxfId="676"/>
    <tableColumn id="2" xr3:uid="{1956A85B-5551-49CF-BF1D-99D3EE300BB2}" name="Variant/Color" dataDxfId="675"/>
    <tableColumn id="3" xr3:uid="{EA1ECCDB-558F-44AB-AA24-5110EC540BBD}" name="Production Cost (IDR)" dataDxfId="674"/>
    <tableColumn id="6" xr3:uid="{BC742486-5842-4CFD-95F6-977D7991C9E9}" name="Notes" dataDxfId="6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C6BA0-D10F-459D-AD2D-7DECA89C9368}" name="PlatformList" displayName="PlatformList" ref="F3:G7" totalsRowShown="0" headerRowDxfId="667" headerRowBorderDxfId="671" tableBorderDxfId="672" totalsRowBorderDxfId="670">
  <autoFilter ref="F3:G7" xr:uid="{630C6BA0-D10F-459D-AD2D-7DECA89C9368}"/>
  <tableColumns count="2">
    <tableColumn id="1" xr3:uid="{40DE0C8C-B06D-44AE-A0B6-CE6BAD43C616}" name="Platforms" dataDxfId="669"/>
    <tableColumn id="2" xr3:uid="{187F704B-F01D-48A1-848B-8B647103314F}" name="Fee%" dataDxfId="668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showGridLines="0" zoomScaleNormal="100" workbookViewId="0">
      <selection activeCell="F22" sqref="F22"/>
    </sheetView>
  </sheetViews>
  <sheetFormatPr defaultColWidth="8.7109375" defaultRowHeight="15" x14ac:dyDescent="0.25"/>
  <cols>
    <col min="1" max="1" width="16.42578125" bestFit="1" customWidth="1"/>
    <col min="2" max="2" width="24.28515625" bestFit="1" customWidth="1"/>
    <col min="3" max="3" width="26.140625" bestFit="1" customWidth="1"/>
    <col min="4" max="4" width="23.7109375" bestFit="1" customWidth="1"/>
    <col min="5" max="5" width="21.28515625" bestFit="1" customWidth="1"/>
    <col min="6" max="6" width="19.140625" bestFit="1" customWidth="1"/>
    <col min="7" max="7" width="17.28515625" bestFit="1" customWidth="1"/>
    <col min="8" max="8" width="9.5703125" bestFit="1" customWidth="1"/>
    <col min="9" max="9" width="20.140625" bestFit="1" customWidth="1"/>
    <col min="10" max="10" width="12.42578125" bestFit="1" customWidth="1"/>
    <col min="11" max="11" width="14.7109375" bestFit="1" customWidth="1"/>
    <col min="12" max="12" width="10.28515625" bestFit="1" customWidth="1"/>
    <col min="13" max="13" width="17.28515625" bestFit="1" customWidth="1"/>
    <col min="14" max="33" width="20.5703125" bestFit="1" customWidth="1"/>
    <col min="34" max="34" width="25.7109375" bestFit="1" customWidth="1"/>
    <col min="35" max="35" width="23.28515625" bestFit="1" customWidth="1"/>
    <col min="36" max="36" width="21.5703125" bestFit="1" customWidth="1"/>
  </cols>
  <sheetData>
    <row r="1" spans="1:16" ht="34.5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5.75" customHeight="1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4" spans="1:16" ht="21.75" customHeight="1" x14ac:dyDescent="0.25">
      <c r="A4" s="29" t="s">
        <v>2</v>
      </c>
      <c r="B4" s="29"/>
      <c r="C4" s="29"/>
      <c r="D4" s="29"/>
      <c r="F4" s="30" t="s">
        <v>3</v>
      </c>
      <c r="G4" s="30"/>
      <c r="H4" s="30"/>
      <c r="I4" s="30"/>
      <c r="K4" s="31" t="s">
        <v>4</v>
      </c>
      <c r="L4" s="31"/>
      <c r="M4" s="31"/>
      <c r="N4" s="31"/>
    </row>
    <row r="5" spans="1:16" ht="21.75" customHeight="1" x14ac:dyDescent="0.25">
      <c r="A5" s="29"/>
      <c r="B5" s="29"/>
      <c r="C5" s="29"/>
      <c r="D5" s="29"/>
      <c r="F5" s="30"/>
      <c r="G5" s="30"/>
      <c r="H5" s="30"/>
      <c r="I5" s="30"/>
      <c r="K5" s="31"/>
      <c r="L5" s="31"/>
      <c r="M5" s="31"/>
      <c r="N5" s="31"/>
    </row>
    <row r="6" spans="1:16" ht="21.75" customHeight="1" x14ac:dyDescent="0.25">
      <c r="A6" s="32">
        <f>SUMIF('Orders Log'!C5:C9999,"&lt;&gt;"&amp;"",'Orders Log'!G5:G9999)</f>
        <v>0</v>
      </c>
      <c r="B6" s="32"/>
      <c r="C6" s="32"/>
      <c r="D6" s="32"/>
      <c r="F6" s="33">
        <f>SUMIF('Orders Log'!C5:C9999,"&lt;&gt;"&amp;"",'Orders Log'!I5:I9999)+SUMIF('Orders Log'!C5:C9999,"&lt;&gt;"&amp;"",'Orders Log'!J5:J9999)+SUMIF('Orders Log'!C5:C9999,"&lt;&gt;"&amp;"",'Orders Log'!K5:K9999)</f>
        <v>0</v>
      </c>
      <c r="G6" s="33"/>
      <c r="H6" s="33"/>
      <c r="I6" s="33"/>
      <c r="K6" s="54">
        <f>SUMIF('Orders Log'!C5:C9999,"&lt;&gt;"&amp;"",'Orders Log'!M5:M9999)</f>
        <v>0</v>
      </c>
      <c r="L6" s="54"/>
      <c r="M6" s="54"/>
      <c r="N6" s="54"/>
    </row>
    <row r="7" spans="1:16" ht="21.75" customHeight="1" x14ac:dyDescent="0.25">
      <c r="A7" s="32"/>
      <c r="B7" s="32"/>
      <c r="C7" s="32"/>
      <c r="D7" s="32"/>
      <c r="F7" s="33"/>
      <c r="G7" s="33"/>
      <c r="H7" s="33"/>
      <c r="I7" s="33"/>
      <c r="K7" s="54"/>
      <c r="L7" s="54"/>
      <c r="M7" s="54"/>
      <c r="N7" s="54"/>
    </row>
    <row r="8" spans="1:16" ht="21.75" customHeight="1" x14ac:dyDescent="0.25">
      <c r="A8" s="32"/>
      <c r="B8" s="32"/>
      <c r="C8" s="32"/>
      <c r="D8" s="32"/>
      <c r="F8" s="33"/>
      <c r="G8" s="33"/>
      <c r="H8" s="33"/>
      <c r="I8" s="33"/>
      <c r="K8" s="54"/>
      <c r="L8" s="54"/>
      <c r="M8" s="54"/>
      <c r="N8" s="54"/>
    </row>
    <row r="9" spans="1:16" ht="21.75" customHeight="1" x14ac:dyDescent="0.25"/>
    <row r="10" spans="1:16" ht="21.75" customHeight="1" x14ac:dyDescent="0.25">
      <c r="A10" s="34" t="s">
        <v>5</v>
      </c>
      <c r="B10" s="34"/>
      <c r="C10" s="34"/>
      <c r="D10" s="34"/>
      <c r="F10" s="35" t="s">
        <v>6</v>
      </c>
      <c r="G10" s="35"/>
      <c r="H10" s="35"/>
      <c r="I10" s="35"/>
      <c r="K10" s="36" t="s">
        <v>7</v>
      </c>
      <c r="L10" s="36"/>
      <c r="M10" s="36"/>
      <c r="N10" s="36"/>
    </row>
    <row r="11" spans="1:16" ht="21.75" customHeight="1" x14ac:dyDescent="0.25">
      <c r="A11" s="34"/>
      <c r="B11" s="34"/>
      <c r="C11" s="34"/>
      <c r="D11" s="34"/>
      <c r="F11" s="35"/>
      <c r="G11" s="35"/>
      <c r="H11" s="35"/>
      <c r="I11" s="35"/>
      <c r="K11" s="36"/>
      <c r="L11" s="36"/>
      <c r="M11" s="36"/>
      <c r="N11" s="36"/>
    </row>
    <row r="12" spans="1:16" ht="21.75" customHeight="1" x14ac:dyDescent="0.25">
      <c r="A12" s="37">
        <f>COUNTA('Orders Log'!B5:B9999)</f>
        <v>0</v>
      </c>
      <c r="B12" s="37"/>
      <c r="C12" s="37"/>
      <c r="D12" s="37"/>
      <c r="F12" s="38">
        <f>COUNTIF('Orders Log'!C5:C9999,"Tokopedia")</f>
        <v>0</v>
      </c>
      <c r="G12" s="38"/>
      <c r="H12" s="38"/>
      <c r="I12" s="38"/>
      <c r="K12" s="39">
        <f>COUNTIF('Orders Log'!C5:C9999,"Shopee")</f>
        <v>0</v>
      </c>
      <c r="L12" s="39"/>
      <c r="M12" s="39"/>
      <c r="N12" s="39"/>
    </row>
    <row r="13" spans="1:16" ht="21.75" customHeight="1" x14ac:dyDescent="0.25">
      <c r="A13" s="37"/>
      <c r="B13" s="37"/>
      <c r="C13" s="37"/>
      <c r="D13" s="37"/>
      <c r="F13" s="38"/>
      <c r="G13" s="38"/>
      <c r="H13" s="38"/>
      <c r="I13" s="38"/>
      <c r="K13" s="39"/>
      <c r="L13" s="39"/>
      <c r="M13" s="39"/>
      <c r="N13" s="39"/>
    </row>
    <row r="14" spans="1:16" ht="21.75" customHeight="1" x14ac:dyDescent="0.25">
      <c r="A14" s="37"/>
      <c r="B14" s="37"/>
      <c r="C14" s="37"/>
      <c r="D14" s="37"/>
      <c r="F14" s="38"/>
      <c r="G14" s="38"/>
      <c r="H14" s="38"/>
      <c r="I14" s="38"/>
      <c r="K14" s="39"/>
      <c r="L14" s="39"/>
      <c r="M14" s="39"/>
      <c r="N14" s="39"/>
    </row>
    <row r="15" spans="1:16" ht="21.75" customHeight="1" x14ac:dyDescent="0.25"/>
    <row r="18" spans="1:7" x14ac:dyDescent="0.25">
      <c r="A18" s="69" t="s">
        <v>85</v>
      </c>
      <c r="B18" s="70"/>
      <c r="C18" s="70"/>
      <c r="D18" s="70"/>
    </row>
    <row r="19" spans="1:7" ht="19.5" customHeight="1" x14ac:dyDescent="0.25">
      <c r="A19" s="72" t="s">
        <v>107</v>
      </c>
      <c r="B19" s="72" t="s">
        <v>105</v>
      </c>
      <c r="C19" s="72" t="s">
        <v>104</v>
      </c>
      <c r="D19" s="72" t="s">
        <v>106</v>
      </c>
    </row>
    <row r="20" spans="1:7" ht="19.5" customHeight="1" x14ac:dyDescent="0.25">
      <c r="A20" s="72" t="s">
        <v>80</v>
      </c>
      <c r="B20" s="77"/>
      <c r="C20" s="74"/>
      <c r="D20" s="77"/>
    </row>
    <row r="21" spans="1:7" ht="19.5" customHeight="1" x14ac:dyDescent="0.25"/>
    <row r="22" spans="1:7" ht="19.5" customHeight="1" x14ac:dyDescent="0.25"/>
    <row r="23" spans="1:7" ht="19.5" customHeight="1" x14ac:dyDescent="0.25"/>
    <row r="24" spans="1:7" x14ac:dyDescent="0.25">
      <c r="E24" s="71"/>
      <c r="F24" s="71"/>
    </row>
    <row r="28" spans="1:7" ht="19.5" customHeight="1" x14ac:dyDescent="0.25"/>
    <row r="29" spans="1:7" ht="19.5" customHeight="1" x14ac:dyDescent="0.25"/>
    <row r="30" spans="1:7" ht="19.5" customHeight="1" x14ac:dyDescent="0.25">
      <c r="A30" s="69" t="s">
        <v>86</v>
      </c>
      <c r="B30" s="70"/>
      <c r="C30" s="70"/>
      <c r="D30" s="70"/>
      <c r="E30" s="70"/>
      <c r="F30" s="70"/>
      <c r="G30" s="70"/>
    </row>
    <row r="31" spans="1:7" ht="19.5" customHeight="1" x14ac:dyDescent="0.25">
      <c r="A31" s="72" t="s">
        <v>99</v>
      </c>
      <c r="B31" s="72" t="s">
        <v>108</v>
      </c>
      <c r="C31" s="72" t="s">
        <v>40</v>
      </c>
      <c r="D31" s="72" t="s">
        <v>109</v>
      </c>
      <c r="E31" s="72" t="s">
        <v>10</v>
      </c>
      <c r="F31" s="72" t="s">
        <v>104</v>
      </c>
      <c r="G31" s="72" t="s">
        <v>110</v>
      </c>
    </row>
    <row r="32" spans="1:7" ht="35.25" customHeight="1" x14ac:dyDescent="0.25">
      <c r="A32" s="72" t="s">
        <v>80</v>
      </c>
      <c r="B32" s="77"/>
      <c r="C32" s="77"/>
      <c r="D32" s="77"/>
      <c r="E32" s="77"/>
      <c r="F32" s="73"/>
      <c r="G32" s="73"/>
    </row>
    <row r="33" spans="1:7" ht="32.25" customHeight="1" x14ac:dyDescent="0.25"/>
    <row r="35" spans="1:7" ht="26.25" customHeight="1" x14ac:dyDescent="0.25"/>
    <row r="36" spans="1:7" ht="18.75" x14ac:dyDescent="0.25">
      <c r="A36" s="75" t="s">
        <v>94</v>
      </c>
      <c r="B36" s="75" t="s">
        <v>83</v>
      </c>
      <c r="C36" s="75" t="s">
        <v>40</v>
      </c>
      <c r="D36" s="75" t="s">
        <v>82</v>
      </c>
      <c r="E36" s="75" t="s">
        <v>81</v>
      </c>
      <c r="F36" s="75" t="s">
        <v>10</v>
      </c>
      <c r="G36" s="75" t="s">
        <v>84</v>
      </c>
    </row>
    <row r="37" spans="1:7" ht="66.75" customHeight="1" x14ac:dyDescent="0.25">
      <c r="A37" s="78" t="s">
        <v>80</v>
      </c>
      <c r="B37" s="78"/>
      <c r="C37" s="78"/>
      <c r="D37" s="78"/>
      <c r="E37" s="78"/>
      <c r="F37" s="78"/>
      <c r="G37" s="76"/>
    </row>
    <row r="38" spans="1:7" ht="70.5" customHeight="1" x14ac:dyDescent="0.25"/>
    <row r="39" spans="1:7" ht="18.75" x14ac:dyDescent="0.25"/>
  </sheetData>
  <mergeCells count="16">
    <mergeCell ref="A12:D14"/>
    <mergeCell ref="F12:I14"/>
    <mergeCell ref="K12:N14"/>
    <mergeCell ref="A18:D18"/>
    <mergeCell ref="A30:G30"/>
    <mergeCell ref="A6:D8"/>
    <mergeCell ref="F6:I8"/>
    <mergeCell ref="K6:N8"/>
    <mergeCell ref="A10:D11"/>
    <mergeCell ref="F10:I11"/>
    <mergeCell ref="K10:N11"/>
    <mergeCell ref="A1:P1"/>
    <mergeCell ref="A2:P2"/>
    <mergeCell ref="A4:D5"/>
    <mergeCell ref="F4:I5"/>
    <mergeCell ref="K4:N5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showGridLines="0" zoomScale="85" zoomScaleNormal="85" workbookViewId="0">
      <pane ySplit="4" topLeftCell="A28" activePane="bottomLeft" state="frozen"/>
      <selection pane="bottomLeft" activeCell="T19" sqref="T19"/>
    </sheetView>
  </sheetViews>
  <sheetFormatPr defaultColWidth="8.7109375" defaultRowHeight="15" x14ac:dyDescent="0.25"/>
  <cols>
    <col min="1" max="1" width="6" customWidth="1"/>
    <col min="2" max="3" width="13" customWidth="1"/>
    <col min="4" max="4" width="18" customWidth="1"/>
    <col min="5" max="5" width="22" customWidth="1"/>
    <col min="6" max="6" width="12.140625" bestFit="1" customWidth="1"/>
    <col min="7" max="7" width="18.5703125" bestFit="1" customWidth="1"/>
    <col min="8" max="8" width="8.5703125" bestFit="1" customWidth="1"/>
    <col min="9" max="9" width="20" bestFit="1" customWidth="1"/>
    <col min="10" max="10" width="22.42578125" bestFit="1" customWidth="1"/>
    <col min="11" max="11" width="15.85546875" bestFit="1" customWidth="1"/>
    <col min="12" max="13" width="16" customWidth="1"/>
    <col min="14" max="14" width="11.140625" bestFit="1" customWidth="1"/>
  </cols>
  <sheetData>
    <row r="1" spans="1:20" ht="30" customHeight="1" x14ac:dyDescent="0.25">
      <c r="A1" s="41" t="s">
        <v>15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20" ht="15.75" customHeight="1" x14ac:dyDescent="0.25">
      <c r="A2" s="42" t="s">
        <v>16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20" ht="18" customHeight="1" x14ac:dyDescent="0.25">
      <c r="A3" s="43" t="s">
        <v>17</v>
      </c>
      <c r="B3" s="43"/>
      <c r="C3" s="43"/>
      <c r="D3" s="43"/>
      <c r="E3" s="44" t="s">
        <v>18</v>
      </c>
      <c r="F3" s="44"/>
      <c r="G3" s="45" t="s">
        <v>19</v>
      </c>
      <c r="H3" s="45"/>
      <c r="I3" s="46" t="s">
        <v>20</v>
      </c>
      <c r="J3" s="46"/>
      <c r="K3" s="46"/>
      <c r="L3" s="47" t="s">
        <v>21</v>
      </c>
      <c r="M3" s="47"/>
      <c r="N3" s="47"/>
    </row>
    <row r="4" spans="1:20" ht="27.75" customHeight="1" x14ac:dyDescent="0.25">
      <c r="A4" s="57" t="s">
        <v>22</v>
      </c>
      <c r="B4" s="58" t="s">
        <v>23</v>
      </c>
      <c r="C4" s="58" t="s">
        <v>8</v>
      </c>
      <c r="D4" s="58" t="s">
        <v>24</v>
      </c>
      <c r="E4" s="58" t="s">
        <v>25</v>
      </c>
      <c r="F4" s="58" t="s">
        <v>26</v>
      </c>
      <c r="G4" s="58" t="s">
        <v>9</v>
      </c>
      <c r="H4" s="58" t="s">
        <v>27</v>
      </c>
      <c r="I4" s="58" t="s">
        <v>28</v>
      </c>
      <c r="J4" s="58" t="s">
        <v>29</v>
      </c>
      <c r="K4" s="58" t="s">
        <v>30</v>
      </c>
      <c r="L4" s="58" t="s">
        <v>31</v>
      </c>
      <c r="M4" s="58" t="s">
        <v>32</v>
      </c>
      <c r="N4" s="59" t="s">
        <v>33</v>
      </c>
    </row>
    <row r="5" spans="1:20" ht="19.5" customHeight="1" x14ac:dyDescent="0.25">
      <c r="A5" s="55">
        <f t="shared" ref="A5:A68" si="0">ROW()-4</f>
        <v>1</v>
      </c>
      <c r="B5" s="13"/>
      <c r="C5" s="2"/>
      <c r="D5" s="2"/>
      <c r="E5" s="3"/>
      <c r="F5" s="2"/>
      <c r="G5" s="16"/>
      <c r="H5" s="2"/>
      <c r="I5" s="5">
        <f>IFERROR(VLOOKUP(E5&amp;F5,'Products &amp; Costs'!$A$4:$C$21,3,FALSE()),IFERROR(VLOOKUP(E5,'Products &amp; Costs'!$A$4:$C$21,3,FALSE()),0))</f>
        <v>0</v>
      </c>
      <c r="J5" s="4">
        <f>IFERROR(VLOOKUP(C5,'Products &amp; Costs'!$F$4:$G$7,2,FALSE)*G5,0)</f>
        <v>0</v>
      </c>
      <c r="K5" s="16"/>
      <c r="L5" s="17">
        <f t="shared" ref="L5:L34" si="1">IFERROR(G5-(I5*H5),0)</f>
        <v>0</v>
      </c>
      <c r="M5" s="17">
        <f>IFERROR(L5-J5-IF(K5="",0,K5),0)</f>
        <v>0</v>
      </c>
      <c r="N5" s="56" t="str">
        <f t="shared" ref="N5:N34" si="2">IF(M5&gt;0,"✅ Profit",IF(M5&lt;0,"❌ Loss","—"))</f>
        <v>—</v>
      </c>
    </row>
    <row r="6" spans="1:20" ht="19.5" customHeight="1" x14ac:dyDescent="0.25">
      <c r="A6" s="55">
        <f t="shared" si="0"/>
        <v>2</v>
      </c>
      <c r="B6" s="13"/>
      <c r="C6" s="2"/>
      <c r="D6" s="2"/>
      <c r="E6" s="3"/>
      <c r="F6" s="2"/>
      <c r="G6" s="16"/>
      <c r="H6" s="2"/>
      <c r="I6" s="5">
        <f>IFERROR(VLOOKUP(E6&amp;F6,'Products &amp; Costs'!$A$4:$C$21,3,FALSE()),IFERROR(VLOOKUP(E6,'Products &amp; Costs'!$A$4:$C$21,3,FALSE()),0))</f>
        <v>0</v>
      </c>
      <c r="J6" s="4">
        <f>IFERROR(VLOOKUP(C6,'Products &amp; Costs'!$F$4:$G$7,2,FALSE)*G6,0)</f>
        <v>0</v>
      </c>
      <c r="K6" s="16"/>
      <c r="L6" s="17">
        <f t="shared" si="1"/>
        <v>0</v>
      </c>
      <c r="M6" s="17">
        <f>IFERROR(L6-J6-IF(K6="",0,K6),0)</f>
        <v>0</v>
      </c>
      <c r="N6" s="56" t="str">
        <f t="shared" si="2"/>
        <v>—</v>
      </c>
    </row>
    <row r="7" spans="1:20" ht="19.5" customHeight="1" x14ac:dyDescent="0.25">
      <c r="A7" s="55">
        <f t="shared" si="0"/>
        <v>3</v>
      </c>
      <c r="B7" s="13"/>
      <c r="C7" s="2"/>
      <c r="D7" s="2"/>
      <c r="E7" s="3"/>
      <c r="F7" s="2"/>
      <c r="G7" s="16"/>
      <c r="H7" s="2"/>
      <c r="I7" s="5">
        <f>IFERROR(VLOOKUP(E7&amp;F7,'Products &amp; Costs'!$A$4:$C$21,3,FALSE()),IFERROR(VLOOKUP(E7,'Products &amp; Costs'!$A$4:$C$21,3,FALSE()),0))</f>
        <v>0</v>
      </c>
      <c r="J7" s="4">
        <f>IFERROR(VLOOKUP(C7,'Products &amp; Costs'!$F$4:$G$7,2,FALSE)*G7,0)</f>
        <v>0</v>
      </c>
      <c r="K7" s="16"/>
      <c r="L7" s="17">
        <f t="shared" si="1"/>
        <v>0</v>
      </c>
      <c r="M7" s="17">
        <f t="shared" ref="M7:M34" si="3">IFERROR(L7-J7-IF(K7="",0,K7),0)</f>
        <v>0</v>
      </c>
      <c r="N7" s="56" t="str">
        <f t="shared" si="2"/>
        <v>—</v>
      </c>
    </row>
    <row r="8" spans="1:20" ht="19.5" customHeight="1" x14ac:dyDescent="0.25">
      <c r="A8" s="55">
        <f t="shared" si="0"/>
        <v>4</v>
      </c>
      <c r="B8" s="13"/>
      <c r="C8" s="2"/>
      <c r="D8" s="2"/>
      <c r="E8" s="3"/>
      <c r="F8" s="2"/>
      <c r="G8" s="16"/>
      <c r="H8" s="2"/>
      <c r="I8" s="5">
        <f>IFERROR(VLOOKUP(E8&amp;F8,'Products &amp; Costs'!$A$4:$C$21,3,FALSE()),IFERROR(VLOOKUP(E8,'Products &amp; Costs'!$A$4:$C$21,3,FALSE()),0))</f>
        <v>0</v>
      </c>
      <c r="J8" s="4">
        <f>IFERROR(VLOOKUP(C8,'Products &amp; Costs'!$F$4:$G$7,2,FALSE)*G8,0)</f>
        <v>0</v>
      </c>
      <c r="K8" s="16"/>
      <c r="L8" s="17">
        <f t="shared" si="1"/>
        <v>0</v>
      </c>
      <c r="M8" s="17">
        <f t="shared" si="3"/>
        <v>0</v>
      </c>
      <c r="N8" s="56" t="str">
        <f t="shared" si="2"/>
        <v>—</v>
      </c>
    </row>
    <row r="9" spans="1:20" ht="19.5" customHeight="1" x14ac:dyDescent="0.25">
      <c r="A9" s="55">
        <f t="shared" si="0"/>
        <v>5</v>
      </c>
      <c r="B9" s="13"/>
      <c r="C9" s="2"/>
      <c r="D9" s="2"/>
      <c r="E9" s="3"/>
      <c r="F9" s="2"/>
      <c r="G9" s="16"/>
      <c r="H9" s="2"/>
      <c r="I9" s="5">
        <f>IFERROR(VLOOKUP(E9&amp;F9,'Products &amp; Costs'!$A$4:$C$21,3,FALSE()),IFERROR(VLOOKUP(E9,'Products &amp; Costs'!$A$4:$C$21,3,FALSE()),0))</f>
        <v>0</v>
      </c>
      <c r="J9" s="4">
        <f>IFERROR(VLOOKUP(C9,'Products &amp; Costs'!$F$4:$G$7,2,FALSE)*G9,0)</f>
        <v>0</v>
      </c>
      <c r="K9" s="16"/>
      <c r="L9" s="17">
        <f t="shared" si="1"/>
        <v>0</v>
      </c>
      <c r="M9" s="17">
        <f t="shared" si="3"/>
        <v>0</v>
      </c>
      <c r="N9" s="56" t="str">
        <f t="shared" si="2"/>
        <v>—</v>
      </c>
    </row>
    <row r="10" spans="1:20" ht="19.5" customHeight="1" x14ac:dyDescent="0.25">
      <c r="A10" s="55">
        <f t="shared" si="0"/>
        <v>6</v>
      </c>
      <c r="B10" s="13"/>
      <c r="C10" s="2"/>
      <c r="D10" s="2"/>
      <c r="E10" s="3"/>
      <c r="F10" s="2"/>
      <c r="G10" s="16"/>
      <c r="H10" s="2"/>
      <c r="I10" s="5">
        <f>IFERROR(VLOOKUP(E10&amp;F10,'Products &amp; Costs'!$A$4:$C$21,3,FALSE()),IFERROR(VLOOKUP(E10,'Products &amp; Costs'!$A$4:$C$21,3,FALSE()),0))</f>
        <v>0</v>
      </c>
      <c r="J10" s="4">
        <f>IFERROR(VLOOKUP(C10,'Products &amp; Costs'!$F$4:$G$7,2,FALSE)*G10,0)</f>
        <v>0</v>
      </c>
      <c r="K10" s="16"/>
      <c r="L10" s="17">
        <f t="shared" si="1"/>
        <v>0</v>
      </c>
      <c r="M10" s="17">
        <f t="shared" si="3"/>
        <v>0</v>
      </c>
      <c r="N10" s="56" t="str">
        <f t="shared" si="2"/>
        <v>—</v>
      </c>
    </row>
    <row r="11" spans="1:20" ht="19.5" customHeight="1" x14ac:dyDescent="0.25">
      <c r="A11" s="55">
        <f t="shared" si="0"/>
        <v>7</v>
      </c>
      <c r="B11" s="13"/>
      <c r="C11" s="2"/>
      <c r="D11" s="2"/>
      <c r="E11" s="3"/>
      <c r="F11" s="2"/>
      <c r="G11" s="16"/>
      <c r="H11" s="2"/>
      <c r="I11" s="5">
        <f>IFERROR(VLOOKUP(E11&amp;F11,'Products &amp; Costs'!$A$4:$C$21,3,FALSE()),IFERROR(VLOOKUP(E11,'Products &amp; Costs'!$A$4:$C$21,3,FALSE()),0))</f>
        <v>0</v>
      </c>
      <c r="J11" s="4">
        <f>IFERROR(VLOOKUP(C11,'Products &amp; Costs'!$F$4:$G$7,2,FALSE)*G11,0)</f>
        <v>0</v>
      </c>
      <c r="K11" s="16"/>
      <c r="L11" s="17">
        <f t="shared" si="1"/>
        <v>0</v>
      </c>
      <c r="M11" s="17">
        <f t="shared" si="3"/>
        <v>0</v>
      </c>
      <c r="N11" s="56" t="str">
        <f t="shared" si="2"/>
        <v>—</v>
      </c>
      <c r="Q11" s="79" t="s">
        <v>46</v>
      </c>
      <c r="R11" s="80"/>
      <c r="S11" s="80"/>
      <c r="T11" s="81"/>
    </row>
    <row r="12" spans="1:20" ht="19.5" customHeight="1" x14ac:dyDescent="0.25">
      <c r="A12" s="55">
        <f t="shared" si="0"/>
        <v>8</v>
      </c>
      <c r="B12" s="13"/>
      <c r="C12" s="2"/>
      <c r="D12" s="2"/>
      <c r="E12" s="3"/>
      <c r="F12" s="2"/>
      <c r="G12" s="16"/>
      <c r="H12" s="2"/>
      <c r="I12" s="5">
        <f>IFERROR(VLOOKUP(E12&amp;F12,'Products &amp; Costs'!$A$4:$C$21,3,FALSE()),IFERROR(VLOOKUP(E12,'Products &amp; Costs'!$A$4:$C$21,3,FALSE()),0))</f>
        <v>0</v>
      </c>
      <c r="J12" s="4">
        <f>IFERROR(VLOOKUP(C12,'Products &amp; Costs'!$F$4:$G$7,2,FALSE)*G12,0)</f>
        <v>0</v>
      </c>
      <c r="K12" s="16"/>
      <c r="L12" s="17">
        <f t="shared" si="1"/>
        <v>0</v>
      </c>
      <c r="M12" s="17">
        <f t="shared" si="3"/>
        <v>0</v>
      </c>
      <c r="N12" s="56" t="str">
        <f t="shared" si="2"/>
        <v>—</v>
      </c>
      <c r="Q12" s="82" t="s">
        <v>47</v>
      </c>
      <c r="R12" s="83"/>
      <c r="S12" s="83"/>
      <c r="T12" s="83"/>
    </row>
    <row r="13" spans="1:20" ht="19.5" customHeight="1" x14ac:dyDescent="0.25">
      <c r="A13" s="55">
        <f t="shared" si="0"/>
        <v>9</v>
      </c>
      <c r="B13" s="13"/>
      <c r="C13" s="2"/>
      <c r="D13" s="2"/>
      <c r="E13" s="3"/>
      <c r="F13" s="2"/>
      <c r="G13" s="16"/>
      <c r="H13" s="2"/>
      <c r="I13" s="5">
        <f>IFERROR(VLOOKUP(E13&amp;F13,'Products &amp; Costs'!$A$4:$C$21,3,FALSE()),IFERROR(VLOOKUP(E13,'Products &amp; Costs'!$A$4:$C$21,3,FALSE()),0))</f>
        <v>0</v>
      </c>
      <c r="J13" s="4">
        <f>IFERROR(VLOOKUP(C13,'Products &amp; Costs'!$F$4:$G$7,2,FALSE)*G13,0)</f>
        <v>0</v>
      </c>
      <c r="K13" s="16"/>
      <c r="L13" s="17">
        <f t="shared" si="1"/>
        <v>0</v>
      </c>
      <c r="M13" s="17">
        <f t="shared" si="3"/>
        <v>0</v>
      </c>
      <c r="N13" s="56" t="str">
        <f t="shared" si="2"/>
        <v>—</v>
      </c>
      <c r="Q13" s="84" t="s">
        <v>48</v>
      </c>
      <c r="R13" s="83"/>
      <c r="S13" s="83"/>
      <c r="T13" s="83"/>
    </row>
    <row r="14" spans="1:20" ht="19.5" customHeight="1" x14ac:dyDescent="0.25">
      <c r="A14" s="55">
        <f t="shared" si="0"/>
        <v>10</v>
      </c>
      <c r="B14" s="13"/>
      <c r="C14" s="2"/>
      <c r="D14" s="2"/>
      <c r="E14" s="3"/>
      <c r="F14" s="2"/>
      <c r="G14" s="16"/>
      <c r="H14" s="2"/>
      <c r="I14" s="5">
        <f>IFERROR(VLOOKUP(E14&amp;F14,'Products &amp; Costs'!$A$4:$C$21,3,FALSE()),IFERROR(VLOOKUP(E14,'Products &amp; Costs'!$A$4:$C$21,3,FALSE()),0))</f>
        <v>0</v>
      </c>
      <c r="J14" s="4">
        <f>IFERROR(VLOOKUP(C14,'Products &amp; Costs'!$F$4:$G$7,2,FALSE)*G14,0)</f>
        <v>0</v>
      </c>
      <c r="K14" s="16"/>
      <c r="L14" s="17">
        <f t="shared" si="1"/>
        <v>0</v>
      </c>
      <c r="M14" s="17">
        <f>IFERROR(L14-J14-IF(K14="",0,K14),0)</f>
        <v>0</v>
      </c>
      <c r="N14" s="56" t="str">
        <f>IF(M14&gt;0,"✅ Profit",IF(M14&lt;0,"❌ Loss","—"))</f>
        <v>—</v>
      </c>
      <c r="Q14" s="85" t="s">
        <v>49</v>
      </c>
      <c r="R14" s="83"/>
      <c r="S14" s="83"/>
      <c r="T14" s="83"/>
    </row>
    <row r="15" spans="1:20" ht="19.5" customHeight="1" x14ac:dyDescent="0.25">
      <c r="A15" s="55">
        <f t="shared" si="0"/>
        <v>11</v>
      </c>
      <c r="B15" s="13"/>
      <c r="C15" s="2"/>
      <c r="D15" s="2"/>
      <c r="E15" s="3"/>
      <c r="F15" s="2"/>
      <c r="G15" s="16"/>
      <c r="H15" s="2"/>
      <c r="I15" s="5">
        <f>IFERROR(VLOOKUP(E15&amp;F15,'Products &amp; Costs'!$A$4:$C$21,3,FALSE()),IFERROR(VLOOKUP(E15,'Products &amp; Costs'!$A$4:$C$21,3,FALSE()),0))</f>
        <v>0</v>
      </c>
      <c r="J15" s="4">
        <f>IFERROR(VLOOKUP(C15,'Products &amp; Costs'!$F$4:$G$7,2,FALSE)*G15,0)</f>
        <v>0</v>
      </c>
      <c r="K15" s="16"/>
      <c r="L15" s="17">
        <f t="shared" si="1"/>
        <v>0</v>
      </c>
      <c r="M15" s="17">
        <f t="shared" si="3"/>
        <v>0</v>
      </c>
      <c r="N15" s="56" t="str">
        <f t="shared" si="2"/>
        <v>—</v>
      </c>
    </row>
    <row r="16" spans="1:20" ht="19.5" customHeight="1" x14ac:dyDescent="0.25">
      <c r="A16" s="55">
        <f t="shared" si="0"/>
        <v>12</v>
      </c>
      <c r="B16" s="13"/>
      <c r="C16" s="2"/>
      <c r="D16" s="2"/>
      <c r="E16" s="3"/>
      <c r="F16" s="2"/>
      <c r="G16" s="16"/>
      <c r="H16" s="2"/>
      <c r="I16" s="5">
        <f>IFERROR(VLOOKUP(E16&amp;F16,'Products &amp; Costs'!$A$4:$C$21,3,FALSE()),IFERROR(VLOOKUP(E16,'Products &amp; Costs'!$A$4:$C$21,3,FALSE()),0))</f>
        <v>0</v>
      </c>
      <c r="J16" s="4">
        <f>IFERROR(VLOOKUP(C16,'Products &amp; Costs'!$F$4:$G$7,2,FALSE)*G16,0)</f>
        <v>0</v>
      </c>
      <c r="K16" s="16"/>
      <c r="L16" s="17">
        <f t="shared" si="1"/>
        <v>0</v>
      </c>
      <c r="M16" s="17">
        <f t="shared" si="3"/>
        <v>0</v>
      </c>
      <c r="N16" s="56" t="str">
        <f t="shared" si="2"/>
        <v>—</v>
      </c>
    </row>
    <row r="17" spans="1:14" ht="19.5" customHeight="1" x14ac:dyDescent="0.25">
      <c r="A17" s="55">
        <f t="shared" si="0"/>
        <v>13</v>
      </c>
      <c r="B17" s="13"/>
      <c r="C17" s="2"/>
      <c r="D17" s="2"/>
      <c r="E17" s="3"/>
      <c r="F17" s="2"/>
      <c r="G17" s="16"/>
      <c r="H17" s="2"/>
      <c r="I17" s="5">
        <f>IFERROR(VLOOKUP(E17&amp;F17,'Products &amp; Costs'!$A$4:$C$21,3,FALSE()),IFERROR(VLOOKUP(E17,'Products &amp; Costs'!$A$4:$C$21,3,FALSE()),0))</f>
        <v>0</v>
      </c>
      <c r="J17" s="4">
        <f>IFERROR(VLOOKUP(C17,'Products &amp; Costs'!$F$4:$G$7,2,FALSE)*G17,0)</f>
        <v>0</v>
      </c>
      <c r="K17" s="16"/>
      <c r="L17" s="17">
        <f t="shared" ref="L17" si="4">IFERROR(G17-(I17*H17),0)</f>
        <v>0</v>
      </c>
      <c r="M17" s="17">
        <f t="shared" ref="M17" si="5">IFERROR(L17-J17-IF(K17="",0,K17),0)</f>
        <v>0</v>
      </c>
      <c r="N17" s="56" t="str">
        <f t="shared" ref="N17" si="6">IF(M17&gt;0,"✅ Profit",IF(M17&lt;0,"❌ Loss","—"))</f>
        <v>—</v>
      </c>
    </row>
    <row r="18" spans="1:14" ht="19.5" customHeight="1" x14ac:dyDescent="0.25">
      <c r="A18" s="55">
        <f t="shared" si="0"/>
        <v>14</v>
      </c>
      <c r="B18" s="13"/>
      <c r="C18" s="2"/>
      <c r="D18" s="2"/>
      <c r="E18" s="3"/>
      <c r="F18" s="2"/>
      <c r="G18" s="16"/>
      <c r="H18" s="2"/>
      <c r="I18" s="5">
        <f>IFERROR(VLOOKUP(E18&amp;F18,'Products &amp; Costs'!$A$4:$C$21,3,FALSE()),IFERROR(VLOOKUP(E18,'Products &amp; Costs'!$A$4:$C$21,3,FALSE()),0))</f>
        <v>0</v>
      </c>
      <c r="J18" s="4">
        <f>IFERROR(IF(C18="Tokopedia",IFERROR(VLOOKUP(E18,'Products &amp; Costs'!$A$4:$E$21,4,FALSE()),0.05)*G18,IF(C18="Shopee",IFERROR(VLOOKUP(E18,'Products &amp; Costs'!$A$4:$E$21,5,FALSE()),0.035)*G18,0)),0)</f>
        <v>0</v>
      </c>
      <c r="K18" s="16"/>
      <c r="L18" s="17">
        <f t="shared" si="1"/>
        <v>0</v>
      </c>
      <c r="M18" s="17">
        <f t="shared" si="3"/>
        <v>0</v>
      </c>
      <c r="N18" s="56" t="str">
        <f t="shared" si="2"/>
        <v>—</v>
      </c>
    </row>
    <row r="19" spans="1:14" ht="19.5" customHeight="1" x14ac:dyDescent="0.25">
      <c r="A19" s="55">
        <f t="shared" si="0"/>
        <v>15</v>
      </c>
      <c r="B19" s="13"/>
      <c r="C19" s="2"/>
      <c r="D19" s="2"/>
      <c r="E19" s="3"/>
      <c r="F19" s="2"/>
      <c r="G19" s="16"/>
      <c r="H19" s="2"/>
      <c r="I19" s="5">
        <f>IFERROR(VLOOKUP(E19&amp;F19,'Products &amp; Costs'!$A$4:$C$21,3,FALSE()),IFERROR(VLOOKUP(E19,'Products &amp; Costs'!$A$4:$C$21,3,FALSE()),0))</f>
        <v>0</v>
      </c>
      <c r="J19" s="4">
        <f>IFERROR(IF(C19="Tokopedia",IFERROR(VLOOKUP(E19,'Products &amp; Costs'!$A$4:$E$21,4,FALSE()),0.05)*G19,IF(C19="Shopee",IFERROR(VLOOKUP(E19,'Products &amp; Costs'!$A$4:$E$21,5,FALSE()),0.035)*G19,0)),0)</f>
        <v>0</v>
      </c>
      <c r="K19" s="16"/>
      <c r="L19" s="17">
        <f t="shared" si="1"/>
        <v>0</v>
      </c>
      <c r="M19" s="17">
        <f t="shared" si="3"/>
        <v>0</v>
      </c>
      <c r="N19" s="56" t="str">
        <f t="shared" si="2"/>
        <v>—</v>
      </c>
    </row>
    <row r="20" spans="1:14" ht="19.5" customHeight="1" x14ac:dyDescent="0.25">
      <c r="A20" s="55">
        <f t="shared" si="0"/>
        <v>16</v>
      </c>
      <c r="B20" s="13"/>
      <c r="C20" s="2"/>
      <c r="D20" s="2"/>
      <c r="E20" s="3"/>
      <c r="F20" s="2"/>
      <c r="G20" s="16"/>
      <c r="H20" s="2"/>
      <c r="I20" s="5">
        <f>IFERROR(VLOOKUP(E20&amp;F20,'Products &amp; Costs'!$A$4:$C$21,3,FALSE()),IFERROR(VLOOKUP(E20,'Products &amp; Costs'!$A$4:$C$21,3,FALSE()),0))</f>
        <v>0</v>
      </c>
      <c r="J20" s="4">
        <f>IFERROR(IF(C20="Tokopedia",IFERROR(VLOOKUP(E20,'Products &amp; Costs'!$A$4:$E$21,4,FALSE()),0.05)*G20,IF(C20="Shopee",IFERROR(VLOOKUP(E20,'Products &amp; Costs'!$A$4:$E$21,5,FALSE()),0.035)*G20,0)),0)</f>
        <v>0</v>
      </c>
      <c r="K20" s="16"/>
      <c r="L20" s="17">
        <f t="shared" si="1"/>
        <v>0</v>
      </c>
      <c r="M20" s="17">
        <f t="shared" si="3"/>
        <v>0</v>
      </c>
      <c r="N20" s="56" t="str">
        <f t="shared" si="2"/>
        <v>—</v>
      </c>
    </row>
    <row r="21" spans="1:14" ht="19.5" customHeight="1" x14ac:dyDescent="0.25">
      <c r="A21" s="55">
        <f t="shared" si="0"/>
        <v>17</v>
      </c>
      <c r="B21" s="13"/>
      <c r="C21" s="2"/>
      <c r="D21" s="2"/>
      <c r="E21" s="3"/>
      <c r="F21" s="2"/>
      <c r="G21" s="16"/>
      <c r="H21" s="2"/>
      <c r="I21" s="5">
        <f>IFERROR(VLOOKUP(E21&amp;F21,'Products &amp; Costs'!$A$4:$C$21,3,FALSE()),IFERROR(VLOOKUP(E21,'Products &amp; Costs'!$A$4:$C$21,3,FALSE()),0))</f>
        <v>0</v>
      </c>
      <c r="J21" s="4">
        <f>IFERROR(IF(C21="Tokopedia",IFERROR(VLOOKUP(E21,'Products &amp; Costs'!$A$4:$E$21,4,FALSE()),0.05)*G21,IF(C21="Shopee",IFERROR(VLOOKUP(E21,'Products &amp; Costs'!$A$4:$E$21,5,FALSE()),0.035)*G21,0)),0)</f>
        <v>0</v>
      </c>
      <c r="K21" s="16"/>
      <c r="L21" s="17">
        <f t="shared" si="1"/>
        <v>0</v>
      </c>
      <c r="M21" s="17">
        <f t="shared" si="3"/>
        <v>0</v>
      </c>
      <c r="N21" s="56" t="str">
        <f t="shared" si="2"/>
        <v>—</v>
      </c>
    </row>
    <row r="22" spans="1:14" ht="19.5" customHeight="1" x14ac:dyDescent="0.25">
      <c r="A22" s="55">
        <f t="shared" si="0"/>
        <v>18</v>
      </c>
      <c r="B22" s="13"/>
      <c r="C22" s="2"/>
      <c r="D22" s="2"/>
      <c r="E22" s="3"/>
      <c r="F22" s="2"/>
      <c r="G22" s="16"/>
      <c r="H22" s="2"/>
      <c r="I22" s="5">
        <f>IFERROR(VLOOKUP(E22&amp;F22,'Products &amp; Costs'!$A$4:$C$21,3,FALSE()),IFERROR(VLOOKUP(E22,'Products &amp; Costs'!$A$4:$C$21,3,FALSE()),0))</f>
        <v>0</v>
      </c>
      <c r="J22" s="4">
        <f>IFERROR(IF(C22="Tokopedia",IFERROR(VLOOKUP(E22,'Products &amp; Costs'!$A$4:$E$21,4,FALSE()),0.05)*G22,IF(C22="Shopee",IFERROR(VLOOKUP(E22,'Products &amp; Costs'!$A$4:$E$21,5,FALSE()),0.035)*G22,0)),0)</f>
        <v>0</v>
      </c>
      <c r="K22" s="16"/>
      <c r="L22" s="17">
        <f t="shared" si="1"/>
        <v>0</v>
      </c>
      <c r="M22" s="17">
        <f t="shared" si="3"/>
        <v>0</v>
      </c>
      <c r="N22" s="56" t="str">
        <f t="shared" si="2"/>
        <v>—</v>
      </c>
    </row>
    <row r="23" spans="1:14" ht="19.5" customHeight="1" x14ac:dyDescent="0.25">
      <c r="A23" s="55">
        <f t="shared" si="0"/>
        <v>19</v>
      </c>
      <c r="B23" s="13"/>
      <c r="C23" s="2"/>
      <c r="D23" s="2"/>
      <c r="E23" s="3"/>
      <c r="F23" s="2"/>
      <c r="G23" s="16"/>
      <c r="H23" s="2"/>
      <c r="I23" s="5">
        <f>IFERROR(VLOOKUP(E23&amp;F23,'Products &amp; Costs'!$A$4:$C$21,3,FALSE()),IFERROR(VLOOKUP(E23,'Products &amp; Costs'!$A$4:$C$21,3,FALSE()),0))</f>
        <v>0</v>
      </c>
      <c r="J23" s="4">
        <f>IFERROR(IF(C23="Tokopedia",IFERROR(VLOOKUP(E23,'Products &amp; Costs'!$A$4:$E$21,4,FALSE()),0.05)*G23,IF(C23="Shopee",IFERROR(VLOOKUP(E23,'Products &amp; Costs'!$A$4:$E$21,5,FALSE()),0.035)*G23,0)),0)</f>
        <v>0</v>
      </c>
      <c r="K23" s="16"/>
      <c r="L23" s="17">
        <f t="shared" si="1"/>
        <v>0</v>
      </c>
      <c r="M23" s="17">
        <f t="shared" si="3"/>
        <v>0</v>
      </c>
      <c r="N23" s="56" t="str">
        <f t="shared" si="2"/>
        <v>—</v>
      </c>
    </row>
    <row r="24" spans="1:14" ht="19.5" customHeight="1" x14ac:dyDescent="0.25">
      <c r="A24" s="55">
        <f t="shared" si="0"/>
        <v>20</v>
      </c>
      <c r="B24" s="13"/>
      <c r="C24" s="2"/>
      <c r="D24" s="2"/>
      <c r="E24" s="3"/>
      <c r="F24" s="2"/>
      <c r="G24" s="16"/>
      <c r="H24" s="2"/>
      <c r="I24" s="5">
        <f>IFERROR(VLOOKUP(E24&amp;F24,'Products &amp; Costs'!$A$4:$C$21,3,FALSE()),IFERROR(VLOOKUP(E24,'Products &amp; Costs'!$A$4:$C$21,3,FALSE()),0))</f>
        <v>0</v>
      </c>
      <c r="J24" s="4">
        <f>IFERROR(IF(C24="Tokopedia",IFERROR(VLOOKUP(E24,'Products &amp; Costs'!$A$4:$E$21,4,FALSE()),0.05)*G24,IF(C24="Shopee",IFERROR(VLOOKUP(E24,'Products &amp; Costs'!$A$4:$E$21,5,FALSE()),0.035)*G24,0)),0)</f>
        <v>0</v>
      </c>
      <c r="K24" s="16"/>
      <c r="L24" s="17">
        <f t="shared" si="1"/>
        <v>0</v>
      </c>
      <c r="M24" s="17">
        <f t="shared" si="3"/>
        <v>0</v>
      </c>
      <c r="N24" s="56" t="str">
        <f t="shared" si="2"/>
        <v>—</v>
      </c>
    </row>
    <row r="25" spans="1:14" ht="19.5" customHeight="1" x14ac:dyDescent="0.25">
      <c r="A25" s="55">
        <f t="shared" si="0"/>
        <v>21</v>
      </c>
      <c r="B25" s="13"/>
      <c r="C25" s="2"/>
      <c r="D25" s="2"/>
      <c r="E25" s="3"/>
      <c r="F25" s="2"/>
      <c r="G25" s="16"/>
      <c r="H25" s="2"/>
      <c r="I25" s="5">
        <f>IFERROR(VLOOKUP(E25&amp;F25,'Products &amp; Costs'!$A$4:$C$21,3,FALSE()),IFERROR(VLOOKUP(E25,'Products &amp; Costs'!$A$4:$C$21,3,FALSE()),0))</f>
        <v>0</v>
      </c>
      <c r="J25" s="4">
        <f>IFERROR(IF(C25="Tokopedia",IFERROR(VLOOKUP(E25,'Products &amp; Costs'!$A$4:$E$21,4,FALSE()),0.05)*G25,IF(C25="Shopee",IFERROR(VLOOKUP(E25,'Products &amp; Costs'!$A$4:$E$21,5,FALSE()),0.035)*G25,0)),0)</f>
        <v>0</v>
      </c>
      <c r="K25" s="16"/>
      <c r="L25" s="17">
        <f t="shared" si="1"/>
        <v>0</v>
      </c>
      <c r="M25" s="17">
        <f t="shared" si="3"/>
        <v>0</v>
      </c>
      <c r="N25" s="56" t="str">
        <f t="shared" si="2"/>
        <v>—</v>
      </c>
    </row>
    <row r="26" spans="1:14" ht="19.5" customHeight="1" x14ac:dyDescent="0.25">
      <c r="A26" s="55">
        <f t="shared" si="0"/>
        <v>22</v>
      </c>
      <c r="B26" s="13"/>
      <c r="C26" s="2"/>
      <c r="D26" s="2"/>
      <c r="E26" s="3"/>
      <c r="F26" s="2"/>
      <c r="G26" s="16"/>
      <c r="H26" s="2"/>
      <c r="I26" s="5">
        <f>IFERROR(VLOOKUP(E26&amp;F26,'Products &amp; Costs'!$A$4:$C$21,3,FALSE()),IFERROR(VLOOKUP(E26,'Products &amp; Costs'!$A$4:$C$21,3,FALSE()),0))</f>
        <v>0</v>
      </c>
      <c r="J26" s="4">
        <f>IFERROR(IF(C26="Tokopedia",IFERROR(VLOOKUP(E26,'Products &amp; Costs'!$A$4:$E$21,4,FALSE()),0.05)*G26,IF(C26="Shopee",IFERROR(VLOOKUP(E26,'Products &amp; Costs'!$A$4:$E$21,5,FALSE()),0.035)*G26,0)),0)</f>
        <v>0</v>
      </c>
      <c r="K26" s="16"/>
      <c r="L26" s="17">
        <f t="shared" si="1"/>
        <v>0</v>
      </c>
      <c r="M26" s="17">
        <f t="shared" si="3"/>
        <v>0</v>
      </c>
      <c r="N26" s="56" t="str">
        <f t="shared" si="2"/>
        <v>—</v>
      </c>
    </row>
    <row r="27" spans="1:14" ht="19.5" customHeight="1" x14ac:dyDescent="0.25">
      <c r="A27" s="55">
        <f t="shared" si="0"/>
        <v>23</v>
      </c>
      <c r="B27" s="13"/>
      <c r="C27" s="2"/>
      <c r="D27" s="2"/>
      <c r="E27" s="3"/>
      <c r="F27" s="2"/>
      <c r="G27" s="16"/>
      <c r="H27" s="2"/>
      <c r="I27" s="5">
        <f>IFERROR(VLOOKUP(E27&amp;F27,'Products &amp; Costs'!$A$4:$C$21,3,FALSE()),IFERROR(VLOOKUP(E27,'Products &amp; Costs'!$A$4:$C$21,3,FALSE()),0))</f>
        <v>0</v>
      </c>
      <c r="J27" s="4">
        <f>IFERROR(IF(C27="Tokopedia",IFERROR(VLOOKUP(E27,'Products &amp; Costs'!$A$4:$E$21,4,FALSE()),0.05)*G27,IF(C27="Shopee",IFERROR(VLOOKUP(E27,'Products &amp; Costs'!$A$4:$E$21,5,FALSE()),0.035)*G27,0)),0)</f>
        <v>0</v>
      </c>
      <c r="K27" s="16"/>
      <c r="L27" s="17">
        <f t="shared" si="1"/>
        <v>0</v>
      </c>
      <c r="M27" s="17">
        <f t="shared" si="3"/>
        <v>0</v>
      </c>
      <c r="N27" s="56" t="str">
        <f t="shared" si="2"/>
        <v>—</v>
      </c>
    </row>
    <row r="28" spans="1:14" ht="19.5" customHeight="1" x14ac:dyDescent="0.25">
      <c r="A28" s="55">
        <f t="shared" si="0"/>
        <v>24</v>
      </c>
      <c r="B28" s="13"/>
      <c r="C28" s="2"/>
      <c r="D28" s="2"/>
      <c r="E28" s="3"/>
      <c r="F28" s="2"/>
      <c r="G28" s="16"/>
      <c r="H28" s="2"/>
      <c r="I28" s="5">
        <f>IFERROR(VLOOKUP(E28&amp;F28,'Products &amp; Costs'!$A$4:$C$21,3,FALSE()),IFERROR(VLOOKUP(E28,'Products &amp; Costs'!$A$4:$C$21,3,FALSE()),0))</f>
        <v>0</v>
      </c>
      <c r="J28" s="4">
        <f>IFERROR(IF(C28="Tokopedia",IFERROR(VLOOKUP(E28,'Products &amp; Costs'!$A$4:$E$21,4,FALSE()),0.05)*G28,IF(C28="Shopee",IFERROR(VLOOKUP(E28,'Products &amp; Costs'!$A$4:$E$21,5,FALSE()),0.035)*G28,0)),0)</f>
        <v>0</v>
      </c>
      <c r="K28" s="16"/>
      <c r="L28" s="17">
        <f t="shared" si="1"/>
        <v>0</v>
      </c>
      <c r="M28" s="17">
        <f t="shared" si="3"/>
        <v>0</v>
      </c>
      <c r="N28" s="56" t="str">
        <f t="shared" si="2"/>
        <v>—</v>
      </c>
    </row>
    <row r="29" spans="1:14" ht="19.5" customHeight="1" x14ac:dyDescent="0.25">
      <c r="A29" s="55">
        <f t="shared" si="0"/>
        <v>25</v>
      </c>
      <c r="B29" s="1"/>
      <c r="C29" s="2"/>
      <c r="D29" s="2"/>
      <c r="E29" s="3"/>
      <c r="F29" s="2"/>
      <c r="G29" s="16"/>
      <c r="H29" s="2"/>
      <c r="I29" s="5">
        <f>IFERROR(VLOOKUP(E29&amp;F29,'Products &amp; Costs'!$A$4:$C$21,3,FALSE()),IFERROR(VLOOKUP(E29,'Products &amp; Costs'!$A$4:$C$21,3,FALSE()),0))</f>
        <v>0</v>
      </c>
      <c r="J29" s="4">
        <f>IFERROR(IF(C29="Tokopedia",IFERROR(VLOOKUP(E29,'Products &amp; Costs'!$A$4:$E$21,4,FALSE()),0.05)*G29,IF(C29="Shopee",IFERROR(VLOOKUP(E29,'Products &amp; Costs'!$A$4:$E$21,5,FALSE()),0.035)*G29,0)),0)</f>
        <v>0</v>
      </c>
      <c r="K29" s="16"/>
      <c r="L29" s="17">
        <f t="shared" si="1"/>
        <v>0</v>
      </c>
      <c r="M29" s="17">
        <f t="shared" si="3"/>
        <v>0</v>
      </c>
      <c r="N29" s="56" t="str">
        <f t="shared" si="2"/>
        <v>—</v>
      </c>
    </row>
    <row r="30" spans="1:14" ht="19.5" customHeight="1" x14ac:dyDescent="0.25">
      <c r="A30" s="55">
        <f t="shared" si="0"/>
        <v>26</v>
      </c>
      <c r="B30" s="1"/>
      <c r="C30" s="2"/>
      <c r="D30" s="2"/>
      <c r="E30" s="3"/>
      <c r="F30" s="2"/>
      <c r="G30" s="16"/>
      <c r="H30" s="2"/>
      <c r="I30" s="5">
        <f>IFERROR(VLOOKUP(E30&amp;F30,'Products &amp; Costs'!$A$4:$C$21,3,FALSE()),IFERROR(VLOOKUP(E30,'Products &amp; Costs'!$A$4:$C$21,3,FALSE()),0))</f>
        <v>0</v>
      </c>
      <c r="J30" s="4">
        <f>IFERROR(IF(C30="Tokopedia",IFERROR(VLOOKUP(E30,'Products &amp; Costs'!$A$4:$E$21,4,FALSE()),0.05)*G30,IF(C30="Shopee",IFERROR(VLOOKUP(E30,'Products &amp; Costs'!$A$4:$E$21,5,FALSE()),0.035)*G30,0)),0)</f>
        <v>0</v>
      </c>
      <c r="K30" s="16"/>
      <c r="L30" s="17">
        <f t="shared" si="1"/>
        <v>0</v>
      </c>
      <c r="M30" s="17">
        <f t="shared" si="3"/>
        <v>0</v>
      </c>
      <c r="N30" s="56" t="str">
        <f t="shared" si="2"/>
        <v>—</v>
      </c>
    </row>
    <row r="31" spans="1:14" ht="19.5" customHeight="1" x14ac:dyDescent="0.25">
      <c r="A31" s="55">
        <f t="shared" si="0"/>
        <v>27</v>
      </c>
      <c r="B31" s="1"/>
      <c r="C31" s="2"/>
      <c r="D31" s="2"/>
      <c r="E31" s="3"/>
      <c r="F31" s="2"/>
      <c r="G31" s="16"/>
      <c r="H31" s="2"/>
      <c r="I31" s="5">
        <f>IFERROR(VLOOKUP(E31&amp;F31,'Products &amp; Costs'!$A$4:$C$21,3,FALSE()),IFERROR(VLOOKUP(E31,'Products &amp; Costs'!$A$4:$C$21,3,FALSE()),0))</f>
        <v>0</v>
      </c>
      <c r="J31" s="4">
        <f>IFERROR(IF(C31="Tokopedia",IFERROR(VLOOKUP(E31,'Products &amp; Costs'!$A$4:$E$21,4,FALSE()),0.05)*G31,IF(C31="Shopee",IFERROR(VLOOKUP(E31,'Products &amp; Costs'!$A$4:$E$21,5,FALSE()),0.035)*G31,0)),0)</f>
        <v>0</v>
      </c>
      <c r="K31" s="16"/>
      <c r="L31" s="17">
        <f t="shared" si="1"/>
        <v>0</v>
      </c>
      <c r="M31" s="17">
        <f t="shared" si="3"/>
        <v>0</v>
      </c>
      <c r="N31" s="56" t="str">
        <f t="shared" si="2"/>
        <v>—</v>
      </c>
    </row>
    <row r="32" spans="1:14" ht="19.5" customHeight="1" x14ac:dyDescent="0.25">
      <c r="A32" s="55">
        <f t="shared" si="0"/>
        <v>28</v>
      </c>
      <c r="B32" s="1"/>
      <c r="C32" s="2"/>
      <c r="D32" s="2"/>
      <c r="E32" s="3"/>
      <c r="F32" s="2"/>
      <c r="G32" s="16"/>
      <c r="H32" s="2"/>
      <c r="I32" s="5">
        <f>IFERROR(VLOOKUP(E32&amp;F32,'Products &amp; Costs'!$A$4:$C$21,3,FALSE()),IFERROR(VLOOKUP(E32,'Products &amp; Costs'!$A$4:$C$21,3,FALSE()),0))</f>
        <v>0</v>
      </c>
      <c r="J32" s="4">
        <f>IFERROR(IF(C32="Tokopedia",IFERROR(VLOOKUP(E32,'Products &amp; Costs'!$A$4:$E$21,4,FALSE()),0.05)*G32,IF(C32="Shopee",IFERROR(VLOOKUP(E32,'Products &amp; Costs'!$A$4:$E$21,5,FALSE()),0.035)*G32,0)),0)</f>
        <v>0</v>
      </c>
      <c r="K32" s="16"/>
      <c r="L32" s="17">
        <f t="shared" si="1"/>
        <v>0</v>
      </c>
      <c r="M32" s="17">
        <f t="shared" si="3"/>
        <v>0</v>
      </c>
      <c r="N32" s="56" t="str">
        <f t="shared" si="2"/>
        <v>—</v>
      </c>
    </row>
    <row r="33" spans="1:14" ht="19.5" customHeight="1" x14ac:dyDescent="0.25">
      <c r="A33" s="55">
        <f t="shared" si="0"/>
        <v>29</v>
      </c>
      <c r="B33" s="1"/>
      <c r="C33" s="2"/>
      <c r="D33" s="2"/>
      <c r="E33" s="3"/>
      <c r="F33" s="2"/>
      <c r="G33" s="16"/>
      <c r="H33" s="2"/>
      <c r="I33" s="5">
        <f>IFERROR(VLOOKUP(E33&amp;F33,'Products &amp; Costs'!$A$4:$C$21,3,FALSE()),IFERROR(VLOOKUP(E33,'Products &amp; Costs'!$A$4:$C$21,3,FALSE()),0))</f>
        <v>0</v>
      </c>
      <c r="J33" s="4">
        <f>IFERROR(IF(C33="Tokopedia",IFERROR(VLOOKUP(E33,'Products &amp; Costs'!$A$4:$E$21,4,FALSE()),0.05)*G33,IF(C33="Shopee",IFERROR(VLOOKUP(E33,'Products &amp; Costs'!$A$4:$E$21,5,FALSE()),0.035)*G33,0)),0)</f>
        <v>0</v>
      </c>
      <c r="K33" s="16"/>
      <c r="L33" s="17">
        <f t="shared" si="1"/>
        <v>0</v>
      </c>
      <c r="M33" s="17">
        <f t="shared" si="3"/>
        <v>0</v>
      </c>
      <c r="N33" s="56" t="str">
        <f t="shared" si="2"/>
        <v>—</v>
      </c>
    </row>
    <row r="34" spans="1:14" ht="19.5" customHeight="1" x14ac:dyDescent="0.25">
      <c r="A34" s="55">
        <f t="shared" si="0"/>
        <v>30</v>
      </c>
      <c r="B34" s="1"/>
      <c r="C34" s="2"/>
      <c r="D34" s="2"/>
      <c r="E34" s="3"/>
      <c r="F34" s="2"/>
      <c r="G34" s="16"/>
      <c r="H34" s="2"/>
      <c r="I34" s="5">
        <f>IFERROR(VLOOKUP(E34&amp;F34,'Products &amp; Costs'!$A$4:$C$21,3,FALSE()),IFERROR(VLOOKUP(E34,'Products &amp; Costs'!$A$4:$C$21,3,FALSE()),0))</f>
        <v>0</v>
      </c>
      <c r="J34" s="4">
        <f>IFERROR(IF(C34="Tokopedia",IFERROR(VLOOKUP(E34,'Products &amp; Costs'!$A$4:$E$21,4,FALSE()),0.05)*G34,IF(C34="Shopee",IFERROR(VLOOKUP(E34,'Products &amp; Costs'!$A$4:$E$21,5,FALSE()),0.035)*G34,0)),0)</f>
        <v>0</v>
      </c>
      <c r="K34" s="16"/>
      <c r="L34" s="17">
        <f t="shared" si="1"/>
        <v>0</v>
      </c>
      <c r="M34" s="17">
        <f t="shared" si="3"/>
        <v>0</v>
      </c>
      <c r="N34" s="56" t="str">
        <f t="shared" si="2"/>
        <v>—</v>
      </c>
    </row>
    <row r="35" spans="1:14" ht="21.75" customHeight="1" x14ac:dyDescent="0.25">
      <c r="A35" s="55">
        <f t="shared" si="0"/>
        <v>31</v>
      </c>
      <c r="B35" s="1"/>
      <c r="C35" s="2"/>
      <c r="D35" s="2"/>
      <c r="E35" s="3"/>
      <c r="F35" s="2"/>
      <c r="G35" s="16"/>
      <c r="H35" s="2"/>
      <c r="I35" s="5">
        <f>IFERROR(VLOOKUP(E35&amp;F35,'Products &amp; Costs'!$A$4:$C$21,3,FALSE()),IFERROR(VLOOKUP(E35,'Products &amp; Costs'!$A$4:$C$21,3,FALSE()),0))</f>
        <v>0</v>
      </c>
      <c r="J35" s="4">
        <f>IFERROR(IF(C35="Tokopedia",IFERROR(VLOOKUP(E35,'Products &amp; Costs'!$A$4:$E$21,4,FALSE()),0.05)*G35,IF(C35="Shopee",IFERROR(VLOOKUP(E35,'Products &amp; Costs'!$A$4:$E$21,5,FALSE()),0.035)*G35,0)),0)</f>
        <v>0</v>
      </c>
      <c r="K35" s="16"/>
      <c r="L35" s="17">
        <f t="shared" ref="L35:L98" si="7">IFERROR(G35-(I35*H35),0)</f>
        <v>0</v>
      </c>
      <c r="M35" s="17">
        <f t="shared" ref="M35:M98" si="8">IFERROR(L35-J35-IF(K35="",0,K35),0)</f>
        <v>0</v>
      </c>
      <c r="N35" s="56" t="str">
        <f t="shared" ref="N35:N98" si="9">IF(M35&gt;0,"✅ Profit",IF(M35&lt;0,"❌ Loss","—"))</f>
        <v>—</v>
      </c>
    </row>
    <row r="36" spans="1:14" x14ac:dyDescent="0.25">
      <c r="A36" s="55">
        <f t="shared" si="0"/>
        <v>32</v>
      </c>
      <c r="B36" s="1"/>
      <c r="C36" s="2"/>
      <c r="D36" s="2"/>
      <c r="E36" s="3"/>
      <c r="F36" s="2"/>
      <c r="G36" s="16"/>
      <c r="H36" s="2"/>
      <c r="I36" s="5">
        <f>IFERROR(VLOOKUP(E36&amp;F36,'Products &amp; Costs'!$A$4:$C$21,3,FALSE()),IFERROR(VLOOKUP(E36,'Products &amp; Costs'!$A$4:$C$21,3,FALSE()),0))</f>
        <v>0</v>
      </c>
      <c r="J36" s="4">
        <f>IFERROR(IF(C36="Tokopedia",IFERROR(VLOOKUP(E36,'Products &amp; Costs'!$A$4:$E$21,4,FALSE()),0.05)*G36,IF(C36="Shopee",IFERROR(VLOOKUP(E36,'Products &amp; Costs'!$A$4:$E$21,5,FALSE()),0.035)*G36,0)),0)</f>
        <v>0</v>
      </c>
      <c r="K36" s="16"/>
      <c r="L36" s="17">
        <f t="shared" si="7"/>
        <v>0</v>
      </c>
      <c r="M36" s="17">
        <f t="shared" si="8"/>
        <v>0</v>
      </c>
      <c r="N36" s="56" t="str">
        <f t="shared" si="9"/>
        <v>—</v>
      </c>
    </row>
    <row r="37" spans="1:14" x14ac:dyDescent="0.25">
      <c r="A37" s="55">
        <f t="shared" si="0"/>
        <v>33</v>
      </c>
      <c r="B37" s="1"/>
      <c r="C37" s="2"/>
      <c r="D37" s="2"/>
      <c r="E37" s="3"/>
      <c r="F37" s="2"/>
      <c r="G37" s="16"/>
      <c r="H37" s="2"/>
      <c r="I37" s="5">
        <f>IFERROR(VLOOKUP(E37&amp;F37,'Products &amp; Costs'!$A$4:$C$21,3,FALSE()),IFERROR(VLOOKUP(E37,'Products &amp; Costs'!$A$4:$C$21,3,FALSE()),0))</f>
        <v>0</v>
      </c>
      <c r="J37" s="4">
        <f>IFERROR(IF(C37="Tokopedia",IFERROR(VLOOKUP(E37,'Products &amp; Costs'!$A$4:$E$21,4,FALSE()),0.05)*G37,IF(C37="Shopee",IFERROR(VLOOKUP(E37,'Products &amp; Costs'!$A$4:$E$21,5,FALSE()),0.035)*G37,0)),0)</f>
        <v>0</v>
      </c>
      <c r="K37" s="16"/>
      <c r="L37" s="17">
        <f t="shared" si="7"/>
        <v>0</v>
      </c>
      <c r="M37" s="17">
        <f t="shared" si="8"/>
        <v>0</v>
      </c>
      <c r="N37" s="56" t="str">
        <f t="shared" si="9"/>
        <v>—</v>
      </c>
    </row>
    <row r="38" spans="1:14" x14ac:dyDescent="0.25">
      <c r="A38" s="55">
        <f t="shared" si="0"/>
        <v>34</v>
      </c>
      <c r="B38" s="1"/>
      <c r="C38" s="2"/>
      <c r="D38" s="2"/>
      <c r="E38" s="3"/>
      <c r="F38" s="2"/>
      <c r="G38" s="16"/>
      <c r="H38" s="2"/>
      <c r="I38" s="5">
        <f>IFERROR(VLOOKUP(E38&amp;F38,'Products &amp; Costs'!$A$4:$C$21,3,FALSE()),IFERROR(VLOOKUP(E38,'Products &amp; Costs'!$A$4:$C$21,3,FALSE()),0))</f>
        <v>0</v>
      </c>
      <c r="J38" s="4">
        <f>IFERROR(IF(C38="Tokopedia",IFERROR(VLOOKUP(E38,'Products &amp; Costs'!$A$4:$E$21,4,FALSE()),0.05)*G38,IF(C38="Shopee",IFERROR(VLOOKUP(E38,'Products &amp; Costs'!$A$4:$E$21,5,FALSE()),0.035)*G38,0)),0)</f>
        <v>0</v>
      </c>
      <c r="K38" s="16"/>
      <c r="L38" s="17">
        <f t="shared" si="7"/>
        <v>0</v>
      </c>
      <c r="M38" s="17">
        <f t="shared" si="8"/>
        <v>0</v>
      </c>
      <c r="N38" s="56" t="str">
        <f t="shared" si="9"/>
        <v>—</v>
      </c>
    </row>
    <row r="39" spans="1:14" x14ac:dyDescent="0.25">
      <c r="A39" s="55">
        <f t="shared" si="0"/>
        <v>35</v>
      </c>
      <c r="B39" s="1"/>
      <c r="C39" s="2"/>
      <c r="D39" s="2"/>
      <c r="E39" s="3"/>
      <c r="F39" s="2"/>
      <c r="G39" s="16"/>
      <c r="H39" s="2"/>
      <c r="I39" s="5">
        <f>IFERROR(VLOOKUP(E39&amp;F39,'Products &amp; Costs'!$A$4:$C$21,3,FALSE()),IFERROR(VLOOKUP(E39,'Products &amp; Costs'!$A$4:$C$21,3,FALSE()),0))</f>
        <v>0</v>
      </c>
      <c r="J39" s="4">
        <f>IFERROR(IF(C39="Tokopedia",IFERROR(VLOOKUP(E39,'Products &amp; Costs'!$A$4:$E$21,4,FALSE()),0.05)*G39,IF(C39="Shopee",IFERROR(VLOOKUP(E39,'Products &amp; Costs'!$A$4:$E$21,5,FALSE()),0.035)*G39,0)),0)</f>
        <v>0</v>
      </c>
      <c r="K39" s="16"/>
      <c r="L39" s="17">
        <f t="shared" si="7"/>
        <v>0</v>
      </c>
      <c r="M39" s="17">
        <f t="shared" si="8"/>
        <v>0</v>
      </c>
      <c r="N39" s="56" t="str">
        <f t="shared" si="9"/>
        <v>—</v>
      </c>
    </row>
    <row r="40" spans="1:14" x14ac:dyDescent="0.25">
      <c r="A40" s="55">
        <f t="shared" si="0"/>
        <v>36</v>
      </c>
      <c r="B40" s="1"/>
      <c r="C40" s="2"/>
      <c r="D40" s="2"/>
      <c r="E40" s="3"/>
      <c r="F40" s="2"/>
      <c r="G40" s="16"/>
      <c r="H40" s="2"/>
      <c r="I40" s="5">
        <f>IFERROR(VLOOKUP(E40&amp;F40,'Products &amp; Costs'!$A$4:$C$21,3,FALSE()),IFERROR(VLOOKUP(E40,'Products &amp; Costs'!$A$4:$C$21,3,FALSE()),0))</f>
        <v>0</v>
      </c>
      <c r="J40" s="4">
        <f>IFERROR(IF(C40="Tokopedia",IFERROR(VLOOKUP(E40,'Products &amp; Costs'!$A$4:$E$21,4,FALSE()),0.05)*G40,IF(C40="Shopee",IFERROR(VLOOKUP(E40,'Products &amp; Costs'!$A$4:$E$21,5,FALSE()),0.035)*G40,0)),0)</f>
        <v>0</v>
      </c>
      <c r="K40" s="16"/>
      <c r="L40" s="17">
        <f t="shared" si="7"/>
        <v>0</v>
      </c>
      <c r="M40" s="17">
        <f t="shared" si="8"/>
        <v>0</v>
      </c>
      <c r="N40" s="56" t="str">
        <f t="shared" si="9"/>
        <v>—</v>
      </c>
    </row>
    <row r="41" spans="1:14" x14ac:dyDescent="0.25">
      <c r="A41" s="55">
        <f t="shared" si="0"/>
        <v>37</v>
      </c>
      <c r="B41" s="1"/>
      <c r="C41" s="2"/>
      <c r="D41" s="2"/>
      <c r="E41" s="3"/>
      <c r="F41" s="2"/>
      <c r="G41" s="16"/>
      <c r="H41" s="2"/>
      <c r="I41" s="5">
        <f>IFERROR(VLOOKUP(E41&amp;F41,'Products &amp; Costs'!$A$4:$C$21,3,FALSE()),IFERROR(VLOOKUP(E41,'Products &amp; Costs'!$A$4:$C$21,3,FALSE()),0))</f>
        <v>0</v>
      </c>
      <c r="J41" s="4">
        <f>IFERROR(IF(C41="Tokopedia",IFERROR(VLOOKUP(E41,'Products &amp; Costs'!$A$4:$E$21,4,FALSE()),0.05)*G41,IF(C41="Shopee",IFERROR(VLOOKUP(E41,'Products &amp; Costs'!$A$4:$E$21,5,FALSE()),0.035)*G41,0)),0)</f>
        <v>0</v>
      </c>
      <c r="K41" s="16"/>
      <c r="L41" s="17">
        <f t="shared" si="7"/>
        <v>0</v>
      </c>
      <c r="M41" s="17">
        <f t="shared" si="8"/>
        <v>0</v>
      </c>
      <c r="N41" s="56" t="str">
        <f t="shared" si="9"/>
        <v>—</v>
      </c>
    </row>
    <row r="42" spans="1:14" x14ac:dyDescent="0.25">
      <c r="A42" s="55">
        <f t="shared" si="0"/>
        <v>38</v>
      </c>
      <c r="B42" s="1"/>
      <c r="C42" s="2"/>
      <c r="D42" s="2"/>
      <c r="E42" s="3"/>
      <c r="F42" s="2"/>
      <c r="G42" s="16"/>
      <c r="H42" s="2"/>
      <c r="I42" s="5">
        <f>IFERROR(VLOOKUP(E42&amp;F42,'Products &amp; Costs'!$A$4:$C$21,3,FALSE()),IFERROR(VLOOKUP(E42,'Products &amp; Costs'!$A$4:$C$21,3,FALSE()),0))</f>
        <v>0</v>
      </c>
      <c r="J42" s="4">
        <f>IFERROR(IF(C42="Tokopedia",IFERROR(VLOOKUP(E42,'Products &amp; Costs'!$A$4:$E$21,4,FALSE()),0.05)*G42,IF(C42="Shopee",IFERROR(VLOOKUP(E42,'Products &amp; Costs'!$A$4:$E$21,5,FALSE()),0.035)*G42,0)),0)</f>
        <v>0</v>
      </c>
      <c r="K42" s="16"/>
      <c r="L42" s="17">
        <f t="shared" si="7"/>
        <v>0</v>
      </c>
      <c r="M42" s="17">
        <f t="shared" si="8"/>
        <v>0</v>
      </c>
      <c r="N42" s="56" t="str">
        <f t="shared" si="9"/>
        <v>—</v>
      </c>
    </row>
    <row r="43" spans="1:14" x14ac:dyDescent="0.25">
      <c r="A43" s="55">
        <f t="shared" si="0"/>
        <v>39</v>
      </c>
      <c r="B43" s="1"/>
      <c r="C43" s="2"/>
      <c r="D43" s="2"/>
      <c r="E43" s="3"/>
      <c r="F43" s="2"/>
      <c r="G43" s="16"/>
      <c r="H43" s="2"/>
      <c r="I43" s="5">
        <f>IFERROR(VLOOKUP(E43&amp;F43,'Products &amp; Costs'!$A$4:$C$21,3,FALSE()),IFERROR(VLOOKUP(E43,'Products &amp; Costs'!$A$4:$C$21,3,FALSE()),0))</f>
        <v>0</v>
      </c>
      <c r="J43" s="4">
        <f>IFERROR(IF(C43="Tokopedia",IFERROR(VLOOKUP(E43,'Products &amp; Costs'!$A$4:$E$21,4,FALSE()),0.05)*G43,IF(C43="Shopee",IFERROR(VLOOKUP(E43,'Products &amp; Costs'!$A$4:$E$21,5,FALSE()),0.035)*G43,0)),0)</f>
        <v>0</v>
      </c>
      <c r="K43" s="16"/>
      <c r="L43" s="17">
        <f t="shared" si="7"/>
        <v>0</v>
      </c>
      <c r="M43" s="17">
        <f t="shared" si="8"/>
        <v>0</v>
      </c>
      <c r="N43" s="56" t="str">
        <f t="shared" si="9"/>
        <v>—</v>
      </c>
    </row>
    <row r="44" spans="1:14" x14ac:dyDescent="0.25">
      <c r="A44" s="55">
        <f t="shared" si="0"/>
        <v>40</v>
      </c>
      <c r="B44" s="1"/>
      <c r="C44" s="2"/>
      <c r="D44" s="2"/>
      <c r="E44" s="3"/>
      <c r="F44" s="2"/>
      <c r="G44" s="16"/>
      <c r="H44" s="2"/>
      <c r="I44" s="5">
        <f>IFERROR(VLOOKUP(E44&amp;F44,'Products &amp; Costs'!$A$4:$C$21,3,FALSE()),IFERROR(VLOOKUP(E44,'Products &amp; Costs'!$A$4:$C$21,3,FALSE()),0))</f>
        <v>0</v>
      </c>
      <c r="J44" s="4">
        <f>IFERROR(IF(C44="Tokopedia",IFERROR(VLOOKUP(E44,'Products &amp; Costs'!$A$4:$E$21,4,FALSE()),0.05)*G44,IF(C44="Shopee",IFERROR(VLOOKUP(E44,'Products &amp; Costs'!$A$4:$E$21,5,FALSE()),0.035)*G44,0)),0)</f>
        <v>0</v>
      </c>
      <c r="K44" s="16"/>
      <c r="L44" s="17">
        <f t="shared" si="7"/>
        <v>0</v>
      </c>
      <c r="M44" s="17">
        <f t="shared" si="8"/>
        <v>0</v>
      </c>
      <c r="N44" s="56" t="str">
        <f t="shared" si="9"/>
        <v>—</v>
      </c>
    </row>
    <row r="45" spans="1:14" x14ac:dyDescent="0.25">
      <c r="A45" s="55">
        <f t="shared" si="0"/>
        <v>41</v>
      </c>
      <c r="B45" s="1"/>
      <c r="C45" s="2"/>
      <c r="D45" s="2"/>
      <c r="E45" s="3"/>
      <c r="F45" s="2"/>
      <c r="G45" s="16"/>
      <c r="H45" s="2"/>
      <c r="I45" s="5">
        <f>IFERROR(VLOOKUP(E45&amp;F45,'Products &amp; Costs'!$A$4:$C$21,3,FALSE()),IFERROR(VLOOKUP(E45,'Products &amp; Costs'!$A$4:$C$21,3,FALSE()),0))</f>
        <v>0</v>
      </c>
      <c r="J45" s="4">
        <f>IFERROR(IF(C45="Tokopedia",IFERROR(VLOOKUP(E45,'Products &amp; Costs'!$A$4:$E$21,4,FALSE()),0.05)*G45,IF(C45="Shopee",IFERROR(VLOOKUP(E45,'Products &amp; Costs'!$A$4:$E$21,5,FALSE()),0.035)*G45,0)),0)</f>
        <v>0</v>
      </c>
      <c r="K45" s="16"/>
      <c r="L45" s="17">
        <f t="shared" si="7"/>
        <v>0</v>
      </c>
      <c r="M45" s="17">
        <f t="shared" si="8"/>
        <v>0</v>
      </c>
      <c r="N45" s="56" t="str">
        <f t="shared" si="9"/>
        <v>—</v>
      </c>
    </row>
    <row r="46" spans="1:14" x14ac:dyDescent="0.25">
      <c r="A46" s="55">
        <f t="shared" si="0"/>
        <v>42</v>
      </c>
      <c r="B46" s="1"/>
      <c r="C46" s="2"/>
      <c r="D46" s="2"/>
      <c r="E46" s="3"/>
      <c r="F46" s="2"/>
      <c r="G46" s="16"/>
      <c r="H46" s="2"/>
      <c r="I46" s="5">
        <f>IFERROR(VLOOKUP(E46&amp;F46,'Products &amp; Costs'!$A$4:$C$21,3,FALSE()),IFERROR(VLOOKUP(E46,'Products &amp; Costs'!$A$4:$C$21,3,FALSE()),0))</f>
        <v>0</v>
      </c>
      <c r="J46" s="4">
        <f>IFERROR(IF(C46="Tokopedia",IFERROR(VLOOKUP(E46,'Products &amp; Costs'!$A$4:$E$21,4,FALSE()),0.05)*G46,IF(C46="Shopee",IFERROR(VLOOKUP(E46,'Products &amp; Costs'!$A$4:$E$21,5,FALSE()),0.035)*G46,0)),0)</f>
        <v>0</v>
      </c>
      <c r="K46" s="16"/>
      <c r="L46" s="17">
        <f t="shared" si="7"/>
        <v>0</v>
      </c>
      <c r="M46" s="17">
        <f t="shared" si="8"/>
        <v>0</v>
      </c>
      <c r="N46" s="56" t="str">
        <f t="shared" si="9"/>
        <v>—</v>
      </c>
    </row>
    <row r="47" spans="1:14" x14ac:dyDescent="0.25">
      <c r="A47" s="55">
        <f t="shared" si="0"/>
        <v>43</v>
      </c>
      <c r="B47" s="1"/>
      <c r="C47" s="2"/>
      <c r="D47" s="2"/>
      <c r="E47" s="3"/>
      <c r="F47" s="2"/>
      <c r="G47" s="16"/>
      <c r="H47" s="2"/>
      <c r="I47" s="5">
        <f>IFERROR(VLOOKUP(E47&amp;F47,'Products &amp; Costs'!$A$4:$C$21,3,FALSE()),IFERROR(VLOOKUP(E47,'Products &amp; Costs'!$A$4:$C$21,3,FALSE()),0))</f>
        <v>0</v>
      </c>
      <c r="J47" s="4">
        <f>IFERROR(IF(C47="Tokopedia",IFERROR(VLOOKUP(E47,'Products &amp; Costs'!$A$4:$E$21,4,FALSE()),0.05)*G47,IF(C47="Shopee",IFERROR(VLOOKUP(E47,'Products &amp; Costs'!$A$4:$E$21,5,FALSE()),0.035)*G47,0)),0)</f>
        <v>0</v>
      </c>
      <c r="K47" s="16"/>
      <c r="L47" s="17">
        <f t="shared" si="7"/>
        <v>0</v>
      </c>
      <c r="M47" s="17">
        <f t="shared" si="8"/>
        <v>0</v>
      </c>
      <c r="N47" s="56" t="str">
        <f t="shared" si="9"/>
        <v>—</v>
      </c>
    </row>
    <row r="48" spans="1:14" x14ac:dyDescent="0.25">
      <c r="A48" s="55">
        <f t="shared" si="0"/>
        <v>44</v>
      </c>
      <c r="B48" s="1"/>
      <c r="C48" s="2"/>
      <c r="D48" s="2"/>
      <c r="E48" s="3"/>
      <c r="F48" s="2"/>
      <c r="G48" s="16"/>
      <c r="H48" s="2"/>
      <c r="I48" s="5">
        <f>IFERROR(VLOOKUP(E48&amp;F48,'Products &amp; Costs'!$A$4:$C$21,3,FALSE()),IFERROR(VLOOKUP(E48,'Products &amp; Costs'!$A$4:$C$21,3,FALSE()),0))</f>
        <v>0</v>
      </c>
      <c r="J48" s="4">
        <f>IFERROR(IF(C48="Tokopedia",IFERROR(VLOOKUP(E48,'Products &amp; Costs'!$A$4:$E$21,4,FALSE()),0.05)*G48,IF(C48="Shopee",IFERROR(VLOOKUP(E48,'Products &amp; Costs'!$A$4:$E$21,5,FALSE()),0.035)*G48,0)),0)</f>
        <v>0</v>
      </c>
      <c r="K48" s="16"/>
      <c r="L48" s="17">
        <f t="shared" si="7"/>
        <v>0</v>
      </c>
      <c r="M48" s="17">
        <f t="shared" si="8"/>
        <v>0</v>
      </c>
      <c r="N48" s="56" t="str">
        <f t="shared" si="9"/>
        <v>—</v>
      </c>
    </row>
    <row r="49" spans="1:14" x14ac:dyDescent="0.25">
      <c r="A49" s="55">
        <f t="shared" si="0"/>
        <v>45</v>
      </c>
      <c r="B49" s="1"/>
      <c r="C49" s="2"/>
      <c r="D49" s="2"/>
      <c r="E49" s="3"/>
      <c r="F49" s="2"/>
      <c r="G49" s="16"/>
      <c r="H49" s="2"/>
      <c r="I49" s="5">
        <f>IFERROR(VLOOKUP(E49&amp;F49,'Products &amp; Costs'!$A$4:$C$21,3,FALSE()),IFERROR(VLOOKUP(E49,'Products &amp; Costs'!$A$4:$C$21,3,FALSE()),0))</f>
        <v>0</v>
      </c>
      <c r="J49" s="4">
        <f>IFERROR(IF(C49="Tokopedia",IFERROR(VLOOKUP(E49,'Products &amp; Costs'!$A$4:$E$21,4,FALSE()),0.05)*G49,IF(C49="Shopee",IFERROR(VLOOKUP(E49,'Products &amp; Costs'!$A$4:$E$21,5,FALSE()),0.035)*G49,0)),0)</f>
        <v>0</v>
      </c>
      <c r="K49" s="16"/>
      <c r="L49" s="17">
        <f t="shared" si="7"/>
        <v>0</v>
      </c>
      <c r="M49" s="17">
        <f t="shared" si="8"/>
        <v>0</v>
      </c>
      <c r="N49" s="56" t="str">
        <f t="shared" si="9"/>
        <v>—</v>
      </c>
    </row>
    <row r="50" spans="1:14" x14ac:dyDescent="0.25">
      <c r="A50" s="55">
        <f t="shared" si="0"/>
        <v>46</v>
      </c>
      <c r="B50" s="1"/>
      <c r="C50" s="2"/>
      <c r="D50" s="2"/>
      <c r="E50" s="3"/>
      <c r="F50" s="2"/>
      <c r="G50" s="16"/>
      <c r="H50" s="2"/>
      <c r="I50" s="5">
        <f>IFERROR(VLOOKUP(E50&amp;F50,'Products &amp; Costs'!$A$4:$C$21,3,FALSE()),IFERROR(VLOOKUP(E50,'Products &amp; Costs'!$A$4:$C$21,3,FALSE()),0))</f>
        <v>0</v>
      </c>
      <c r="J50" s="4">
        <f>IFERROR(IF(C50="Tokopedia",IFERROR(VLOOKUP(E50,'Products &amp; Costs'!$A$4:$E$21,4,FALSE()),0.05)*G50,IF(C50="Shopee",IFERROR(VLOOKUP(E50,'Products &amp; Costs'!$A$4:$E$21,5,FALSE()),0.035)*G50,0)),0)</f>
        <v>0</v>
      </c>
      <c r="K50" s="16"/>
      <c r="L50" s="17">
        <f t="shared" si="7"/>
        <v>0</v>
      </c>
      <c r="M50" s="17">
        <f t="shared" si="8"/>
        <v>0</v>
      </c>
      <c r="N50" s="56" t="str">
        <f t="shared" si="9"/>
        <v>—</v>
      </c>
    </row>
    <row r="51" spans="1:14" x14ac:dyDescent="0.25">
      <c r="A51" s="55">
        <f t="shared" si="0"/>
        <v>47</v>
      </c>
      <c r="B51" s="1"/>
      <c r="C51" s="2"/>
      <c r="D51" s="2"/>
      <c r="E51" s="3"/>
      <c r="F51" s="2"/>
      <c r="G51" s="16"/>
      <c r="H51" s="2"/>
      <c r="I51" s="5">
        <f>IFERROR(VLOOKUP(E51&amp;F51,'Products &amp; Costs'!$A$4:$C$21,3,FALSE()),IFERROR(VLOOKUP(E51,'Products &amp; Costs'!$A$4:$C$21,3,FALSE()),0))</f>
        <v>0</v>
      </c>
      <c r="J51" s="4">
        <f>IFERROR(IF(C51="Tokopedia",IFERROR(VLOOKUP(E51,'Products &amp; Costs'!$A$4:$E$21,4,FALSE()),0.05)*G51,IF(C51="Shopee",IFERROR(VLOOKUP(E51,'Products &amp; Costs'!$A$4:$E$21,5,FALSE()),0.035)*G51,0)),0)</f>
        <v>0</v>
      </c>
      <c r="K51" s="16"/>
      <c r="L51" s="17">
        <f t="shared" si="7"/>
        <v>0</v>
      </c>
      <c r="M51" s="17">
        <f t="shared" si="8"/>
        <v>0</v>
      </c>
      <c r="N51" s="56" t="str">
        <f t="shared" si="9"/>
        <v>—</v>
      </c>
    </row>
    <row r="52" spans="1:14" x14ac:dyDescent="0.25">
      <c r="A52" s="55">
        <f t="shared" si="0"/>
        <v>48</v>
      </c>
      <c r="B52" s="1"/>
      <c r="C52" s="2"/>
      <c r="D52" s="2"/>
      <c r="E52" s="3"/>
      <c r="F52" s="2"/>
      <c r="G52" s="16"/>
      <c r="H52" s="2"/>
      <c r="I52" s="5">
        <f>IFERROR(VLOOKUP(E52&amp;F52,'Products &amp; Costs'!$A$4:$C$21,3,FALSE()),IFERROR(VLOOKUP(E52,'Products &amp; Costs'!$A$4:$C$21,3,FALSE()),0))</f>
        <v>0</v>
      </c>
      <c r="J52" s="4">
        <f>IFERROR(IF(C52="Tokopedia",IFERROR(VLOOKUP(E52,'Products &amp; Costs'!$A$4:$E$21,4,FALSE()),0.05)*G52,IF(C52="Shopee",IFERROR(VLOOKUP(E52,'Products &amp; Costs'!$A$4:$E$21,5,FALSE()),0.035)*G52,0)),0)</f>
        <v>0</v>
      </c>
      <c r="K52" s="16"/>
      <c r="L52" s="17">
        <f t="shared" si="7"/>
        <v>0</v>
      </c>
      <c r="M52" s="17">
        <f t="shared" si="8"/>
        <v>0</v>
      </c>
      <c r="N52" s="56" t="str">
        <f t="shared" si="9"/>
        <v>—</v>
      </c>
    </row>
    <row r="53" spans="1:14" x14ac:dyDescent="0.25">
      <c r="A53" s="55">
        <f t="shared" si="0"/>
        <v>49</v>
      </c>
      <c r="B53" s="1"/>
      <c r="C53" s="2"/>
      <c r="D53" s="2"/>
      <c r="E53" s="3"/>
      <c r="F53" s="2"/>
      <c r="G53" s="16"/>
      <c r="H53" s="2"/>
      <c r="I53" s="5">
        <f>IFERROR(VLOOKUP(E53&amp;F53,'Products &amp; Costs'!$A$4:$C$21,3,FALSE()),IFERROR(VLOOKUP(E53,'Products &amp; Costs'!$A$4:$C$21,3,FALSE()),0))</f>
        <v>0</v>
      </c>
      <c r="J53" s="4">
        <f>IFERROR(IF(C53="Tokopedia",IFERROR(VLOOKUP(E53,'Products &amp; Costs'!$A$4:$E$21,4,FALSE()),0.05)*G53,IF(C53="Shopee",IFERROR(VLOOKUP(E53,'Products &amp; Costs'!$A$4:$E$21,5,FALSE()),0.035)*G53,0)),0)</f>
        <v>0</v>
      </c>
      <c r="K53" s="16"/>
      <c r="L53" s="17">
        <f t="shared" si="7"/>
        <v>0</v>
      </c>
      <c r="M53" s="17">
        <f t="shared" si="8"/>
        <v>0</v>
      </c>
      <c r="N53" s="56" t="str">
        <f t="shared" si="9"/>
        <v>—</v>
      </c>
    </row>
    <row r="54" spans="1:14" x14ac:dyDescent="0.25">
      <c r="A54" s="55">
        <f t="shared" si="0"/>
        <v>50</v>
      </c>
      <c r="B54" s="1"/>
      <c r="C54" s="2"/>
      <c r="D54" s="2"/>
      <c r="E54" s="3"/>
      <c r="F54" s="2"/>
      <c r="G54" s="16"/>
      <c r="H54" s="2"/>
      <c r="I54" s="5">
        <f>IFERROR(VLOOKUP(E54&amp;F54,'Products &amp; Costs'!$A$4:$C$21,3,FALSE()),IFERROR(VLOOKUP(E54,'Products &amp; Costs'!$A$4:$C$21,3,FALSE()),0))</f>
        <v>0</v>
      </c>
      <c r="J54" s="4">
        <f>IFERROR(IF(C54="Tokopedia",IFERROR(VLOOKUP(E54,'Products &amp; Costs'!$A$4:$E$21,4,FALSE()),0.05)*G54,IF(C54="Shopee",IFERROR(VLOOKUP(E54,'Products &amp; Costs'!$A$4:$E$21,5,FALSE()),0.035)*G54,0)),0)</f>
        <v>0</v>
      </c>
      <c r="K54" s="16"/>
      <c r="L54" s="17">
        <f t="shared" si="7"/>
        <v>0</v>
      </c>
      <c r="M54" s="17">
        <f t="shared" si="8"/>
        <v>0</v>
      </c>
      <c r="N54" s="56" t="str">
        <f t="shared" si="9"/>
        <v>—</v>
      </c>
    </row>
    <row r="55" spans="1:14" x14ac:dyDescent="0.25">
      <c r="A55" s="55">
        <f t="shared" si="0"/>
        <v>51</v>
      </c>
      <c r="B55" s="1"/>
      <c r="C55" s="2"/>
      <c r="D55" s="2"/>
      <c r="E55" s="3"/>
      <c r="F55" s="2"/>
      <c r="G55" s="16"/>
      <c r="H55" s="2"/>
      <c r="I55" s="5">
        <f>IFERROR(VLOOKUP(E55&amp;F55,'Products &amp; Costs'!$A$4:$C$21,3,FALSE()),IFERROR(VLOOKUP(E55,'Products &amp; Costs'!$A$4:$C$21,3,FALSE()),0))</f>
        <v>0</v>
      </c>
      <c r="J55" s="4">
        <f>IFERROR(IF(C55="Tokopedia",IFERROR(VLOOKUP(E55,'Products &amp; Costs'!$A$4:$E$21,4,FALSE()),0.05)*G55,IF(C55="Shopee",IFERROR(VLOOKUP(E55,'Products &amp; Costs'!$A$4:$E$21,5,FALSE()),0.035)*G55,0)),0)</f>
        <v>0</v>
      </c>
      <c r="K55" s="16"/>
      <c r="L55" s="17">
        <f t="shared" si="7"/>
        <v>0</v>
      </c>
      <c r="M55" s="17">
        <f t="shared" si="8"/>
        <v>0</v>
      </c>
      <c r="N55" s="56" t="str">
        <f t="shared" si="9"/>
        <v>—</v>
      </c>
    </row>
    <row r="56" spans="1:14" x14ac:dyDescent="0.25">
      <c r="A56" s="55">
        <f t="shared" si="0"/>
        <v>52</v>
      </c>
      <c r="B56" s="1"/>
      <c r="C56" s="2"/>
      <c r="D56" s="2"/>
      <c r="E56" s="3"/>
      <c r="F56" s="2"/>
      <c r="G56" s="16"/>
      <c r="H56" s="2"/>
      <c r="I56" s="5">
        <f>IFERROR(VLOOKUP(E56&amp;F56,'Products &amp; Costs'!$A$4:$C$21,3,FALSE()),IFERROR(VLOOKUP(E56,'Products &amp; Costs'!$A$4:$C$21,3,FALSE()),0))</f>
        <v>0</v>
      </c>
      <c r="J56" s="4">
        <f>IFERROR(IF(C56="Tokopedia",IFERROR(VLOOKUP(E56,'Products &amp; Costs'!$A$4:$E$21,4,FALSE()),0.05)*G56,IF(C56="Shopee",IFERROR(VLOOKUP(E56,'Products &amp; Costs'!$A$4:$E$21,5,FALSE()),0.035)*G56,0)),0)</f>
        <v>0</v>
      </c>
      <c r="K56" s="16"/>
      <c r="L56" s="17">
        <f t="shared" si="7"/>
        <v>0</v>
      </c>
      <c r="M56" s="17">
        <f t="shared" si="8"/>
        <v>0</v>
      </c>
      <c r="N56" s="56" t="str">
        <f t="shared" si="9"/>
        <v>—</v>
      </c>
    </row>
    <row r="57" spans="1:14" x14ac:dyDescent="0.25">
      <c r="A57" s="55">
        <f t="shared" si="0"/>
        <v>53</v>
      </c>
      <c r="B57" s="1"/>
      <c r="C57" s="2"/>
      <c r="D57" s="2"/>
      <c r="E57" s="3"/>
      <c r="F57" s="2"/>
      <c r="G57" s="16"/>
      <c r="H57" s="2"/>
      <c r="I57" s="5">
        <f>IFERROR(VLOOKUP(E57&amp;F57,'Products &amp; Costs'!$A$4:$C$21,3,FALSE()),IFERROR(VLOOKUP(E57,'Products &amp; Costs'!$A$4:$C$21,3,FALSE()),0))</f>
        <v>0</v>
      </c>
      <c r="J57" s="4">
        <f>IFERROR(IF(C57="Tokopedia",IFERROR(VLOOKUP(E57,'Products &amp; Costs'!$A$4:$E$21,4,FALSE()),0.05)*G57,IF(C57="Shopee",IFERROR(VLOOKUP(E57,'Products &amp; Costs'!$A$4:$E$21,5,FALSE()),0.035)*G57,0)),0)</f>
        <v>0</v>
      </c>
      <c r="K57" s="16"/>
      <c r="L57" s="17">
        <f t="shared" si="7"/>
        <v>0</v>
      </c>
      <c r="M57" s="17">
        <f t="shared" si="8"/>
        <v>0</v>
      </c>
      <c r="N57" s="56" t="str">
        <f t="shared" si="9"/>
        <v>—</v>
      </c>
    </row>
    <row r="58" spans="1:14" x14ac:dyDescent="0.25">
      <c r="A58" s="55">
        <f t="shared" si="0"/>
        <v>54</v>
      </c>
      <c r="B58" s="1"/>
      <c r="C58" s="2"/>
      <c r="D58" s="2"/>
      <c r="E58" s="3"/>
      <c r="F58" s="2"/>
      <c r="G58" s="16"/>
      <c r="H58" s="2"/>
      <c r="I58" s="5">
        <f>IFERROR(VLOOKUP(E58&amp;F58,'Products &amp; Costs'!$A$4:$C$21,3,FALSE()),IFERROR(VLOOKUP(E58,'Products &amp; Costs'!$A$4:$C$21,3,FALSE()),0))</f>
        <v>0</v>
      </c>
      <c r="J58" s="4">
        <f>IFERROR(IF(C58="Tokopedia",IFERROR(VLOOKUP(E58,'Products &amp; Costs'!$A$4:$E$21,4,FALSE()),0.05)*G58,IF(C58="Shopee",IFERROR(VLOOKUP(E58,'Products &amp; Costs'!$A$4:$E$21,5,FALSE()),0.035)*G58,0)),0)</f>
        <v>0</v>
      </c>
      <c r="K58" s="16"/>
      <c r="L58" s="17">
        <f t="shared" si="7"/>
        <v>0</v>
      </c>
      <c r="M58" s="17">
        <f t="shared" si="8"/>
        <v>0</v>
      </c>
      <c r="N58" s="56" t="str">
        <f t="shared" si="9"/>
        <v>—</v>
      </c>
    </row>
    <row r="59" spans="1:14" x14ac:dyDescent="0.25">
      <c r="A59" s="55">
        <f t="shared" si="0"/>
        <v>55</v>
      </c>
      <c r="B59" s="1"/>
      <c r="C59" s="2"/>
      <c r="D59" s="2"/>
      <c r="E59" s="3"/>
      <c r="F59" s="2"/>
      <c r="G59" s="16"/>
      <c r="H59" s="2"/>
      <c r="I59" s="5">
        <f>IFERROR(VLOOKUP(E59&amp;F59,'Products &amp; Costs'!$A$4:$C$21,3,FALSE()),IFERROR(VLOOKUP(E59,'Products &amp; Costs'!$A$4:$C$21,3,FALSE()),0))</f>
        <v>0</v>
      </c>
      <c r="J59" s="4">
        <f>IFERROR(IF(C59="Tokopedia",IFERROR(VLOOKUP(E59,'Products &amp; Costs'!$A$4:$E$21,4,FALSE()),0.05)*G59,IF(C59="Shopee",IFERROR(VLOOKUP(E59,'Products &amp; Costs'!$A$4:$E$21,5,FALSE()),0.035)*G59,0)),0)</f>
        <v>0</v>
      </c>
      <c r="K59" s="16"/>
      <c r="L59" s="17">
        <f t="shared" si="7"/>
        <v>0</v>
      </c>
      <c r="M59" s="17">
        <f t="shared" si="8"/>
        <v>0</v>
      </c>
      <c r="N59" s="56" t="str">
        <f t="shared" si="9"/>
        <v>—</v>
      </c>
    </row>
    <row r="60" spans="1:14" x14ac:dyDescent="0.25">
      <c r="A60" s="55">
        <f t="shared" si="0"/>
        <v>56</v>
      </c>
      <c r="B60" s="1"/>
      <c r="C60" s="2"/>
      <c r="D60" s="2"/>
      <c r="E60" s="3"/>
      <c r="F60" s="2"/>
      <c r="G60" s="16"/>
      <c r="H60" s="2"/>
      <c r="I60" s="5">
        <f>IFERROR(VLOOKUP(E60&amp;F60,'Products &amp; Costs'!$A$4:$C$21,3,FALSE()),IFERROR(VLOOKUP(E60,'Products &amp; Costs'!$A$4:$C$21,3,FALSE()),0))</f>
        <v>0</v>
      </c>
      <c r="J60" s="4">
        <f>IFERROR(IF(C60="Tokopedia",IFERROR(VLOOKUP(E60,'Products &amp; Costs'!$A$4:$E$21,4,FALSE()),0.05)*G60,IF(C60="Shopee",IFERROR(VLOOKUP(E60,'Products &amp; Costs'!$A$4:$E$21,5,FALSE()),0.035)*G60,0)),0)</f>
        <v>0</v>
      </c>
      <c r="K60" s="16"/>
      <c r="L60" s="17">
        <f t="shared" si="7"/>
        <v>0</v>
      </c>
      <c r="M60" s="17">
        <f t="shared" si="8"/>
        <v>0</v>
      </c>
      <c r="N60" s="56" t="str">
        <f t="shared" si="9"/>
        <v>—</v>
      </c>
    </row>
    <row r="61" spans="1:14" x14ac:dyDescent="0.25">
      <c r="A61" s="55">
        <f t="shared" si="0"/>
        <v>57</v>
      </c>
      <c r="B61" s="1"/>
      <c r="C61" s="2"/>
      <c r="D61" s="2"/>
      <c r="E61" s="3"/>
      <c r="F61" s="2"/>
      <c r="G61" s="16"/>
      <c r="H61" s="2"/>
      <c r="I61" s="5">
        <f>IFERROR(VLOOKUP(E61&amp;F61,'Products &amp; Costs'!$A$4:$C$21,3,FALSE()),IFERROR(VLOOKUP(E61,'Products &amp; Costs'!$A$4:$C$21,3,FALSE()),0))</f>
        <v>0</v>
      </c>
      <c r="J61" s="4">
        <f>IFERROR(IF(C61="Tokopedia",IFERROR(VLOOKUP(E61,'Products &amp; Costs'!$A$4:$E$21,4,FALSE()),0.05)*G61,IF(C61="Shopee",IFERROR(VLOOKUP(E61,'Products &amp; Costs'!$A$4:$E$21,5,FALSE()),0.035)*G61,0)),0)</f>
        <v>0</v>
      </c>
      <c r="K61" s="16"/>
      <c r="L61" s="17">
        <f t="shared" si="7"/>
        <v>0</v>
      </c>
      <c r="M61" s="17">
        <f t="shared" si="8"/>
        <v>0</v>
      </c>
      <c r="N61" s="56" t="str">
        <f t="shared" si="9"/>
        <v>—</v>
      </c>
    </row>
    <row r="62" spans="1:14" x14ac:dyDescent="0.25">
      <c r="A62" s="55">
        <f t="shared" si="0"/>
        <v>58</v>
      </c>
      <c r="B62" s="1"/>
      <c r="C62" s="2"/>
      <c r="D62" s="2"/>
      <c r="E62" s="3"/>
      <c r="F62" s="2"/>
      <c r="G62" s="16"/>
      <c r="H62" s="2"/>
      <c r="I62" s="5">
        <f>IFERROR(VLOOKUP(E62&amp;F62,'Products &amp; Costs'!$A$4:$C$21,3,FALSE()),IFERROR(VLOOKUP(E62,'Products &amp; Costs'!$A$4:$C$21,3,FALSE()),0))</f>
        <v>0</v>
      </c>
      <c r="J62" s="4">
        <f>IFERROR(IF(C62="Tokopedia",IFERROR(VLOOKUP(E62,'Products &amp; Costs'!$A$4:$E$21,4,FALSE()),0.05)*G62,IF(C62="Shopee",IFERROR(VLOOKUP(E62,'Products &amp; Costs'!$A$4:$E$21,5,FALSE()),0.035)*G62,0)),0)</f>
        <v>0</v>
      </c>
      <c r="K62" s="16"/>
      <c r="L62" s="17">
        <f t="shared" si="7"/>
        <v>0</v>
      </c>
      <c r="M62" s="17">
        <f t="shared" si="8"/>
        <v>0</v>
      </c>
      <c r="N62" s="56" t="str">
        <f t="shared" si="9"/>
        <v>—</v>
      </c>
    </row>
    <row r="63" spans="1:14" x14ac:dyDescent="0.25">
      <c r="A63" s="55">
        <f t="shared" si="0"/>
        <v>59</v>
      </c>
      <c r="B63" s="1"/>
      <c r="C63" s="2"/>
      <c r="D63" s="2"/>
      <c r="E63" s="3"/>
      <c r="F63" s="2"/>
      <c r="G63" s="16"/>
      <c r="H63" s="2"/>
      <c r="I63" s="5">
        <f>IFERROR(VLOOKUP(E63&amp;F63,'Products &amp; Costs'!$A$4:$C$21,3,FALSE()),IFERROR(VLOOKUP(E63,'Products &amp; Costs'!$A$4:$C$21,3,FALSE()),0))</f>
        <v>0</v>
      </c>
      <c r="J63" s="4">
        <f>IFERROR(IF(C63="Tokopedia",IFERROR(VLOOKUP(E63,'Products &amp; Costs'!$A$4:$E$21,4,FALSE()),0.05)*G63,IF(C63="Shopee",IFERROR(VLOOKUP(E63,'Products &amp; Costs'!$A$4:$E$21,5,FALSE()),0.035)*G63,0)),0)</f>
        <v>0</v>
      </c>
      <c r="K63" s="16"/>
      <c r="L63" s="17">
        <f t="shared" si="7"/>
        <v>0</v>
      </c>
      <c r="M63" s="17">
        <f t="shared" si="8"/>
        <v>0</v>
      </c>
      <c r="N63" s="56" t="str">
        <f t="shared" si="9"/>
        <v>—</v>
      </c>
    </row>
    <row r="64" spans="1:14" x14ac:dyDescent="0.25">
      <c r="A64" s="55">
        <f t="shared" si="0"/>
        <v>60</v>
      </c>
      <c r="B64" s="1"/>
      <c r="C64" s="2"/>
      <c r="D64" s="2"/>
      <c r="E64" s="3"/>
      <c r="F64" s="2"/>
      <c r="G64" s="16"/>
      <c r="H64" s="2"/>
      <c r="I64" s="5">
        <f>IFERROR(VLOOKUP(E64&amp;F64,'Products &amp; Costs'!$A$4:$C$21,3,FALSE()),IFERROR(VLOOKUP(E64,'Products &amp; Costs'!$A$4:$C$21,3,FALSE()),0))</f>
        <v>0</v>
      </c>
      <c r="J64" s="4">
        <f>IFERROR(IF(C64="Tokopedia",IFERROR(VLOOKUP(E64,'Products &amp; Costs'!$A$4:$E$21,4,FALSE()),0.05)*G64,IF(C64="Shopee",IFERROR(VLOOKUP(E64,'Products &amp; Costs'!$A$4:$E$21,5,FALSE()),0.035)*G64,0)),0)</f>
        <v>0</v>
      </c>
      <c r="K64" s="16"/>
      <c r="L64" s="17">
        <f t="shared" si="7"/>
        <v>0</v>
      </c>
      <c r="M64" s="17">
        <f t="shared" si="8"/>
        <v>0</v>
      </c>
      <c r="N64" s="56" t="str">
        <f t="shared" si="9"/>
        <v>—</v>
      </c>
    </row>
    <row r="65" spans="1:14" x14ac:dyDescent="0.25">
      <c r="A65" s="55">
        <f t="shared" si="0"/>
        <v>61</v>
      </c>
      <c r="B65" s="1"/>
      <c r="C65" s="2"/>
      <c r="D65" s="2"/>
      <c r="E65" s="3"/>
      <c r="F65" s="2"/>
      <c r="G65" s="16"/>
      <c r="H65" s="2"/>
      <c r="I65" s="5">
        <f>IFERROR(VLOOKUP(E65&amp;F65,'Products &amp; Costs'!$A$4:$C$21,3,FALSE()),IFERROR(VLOOKUP(E65,'Products &amp; Costs'!$A$4:$C$21,3,FALSE()),0))</f>
        <v>0</v>
      </c>
      <c r="J65" s="4">
        <f>IFERROR(IF(C65="Tokopedia",IFERROR(VLOOKUP(E65,'Products &amp; Costs'!$A$4:$E$21,4,FALSE()),0.05)*G65,IF(C65="Shopee",IFERROR(VLOOKUP(E65,'Products &amp; Costs'!$A$4:$E$21,5,FALSE()),0.035)*G65,0)),0)</f>
        <v>0</v>
      </c>
      <c r="K65" s="16"/>
      <c r="L65" s="17">
        <f t="shared" si="7"/>
        <v>0</v>
      </c>
      <c r="M65" s="17">
        <f t="shared" si="8"/>
        <v>0</v>
      </c>
      <c r="N65" s="56" t="str">
        <f t="shared" si="9"/>
        <v>—</v>
      </c>
    </row>
    <row r="66" spans="1:14" x14ac:dyDescent="0.25">
      <c r="A66" s="55">
        <f t="shared" si="0"/>
        <v>62</v>
      </c>
      <c r="B66" s="1"/>
      <c r="C66" s="2"/>
      <c r="D66" s="2"/>
      <c r="E66" s="3"/>
      <c r="F66" s="2"/>
      <c r="G66" s="16"/>
      <c r="H66" s="2"/>
      <c r="I66" s="5">
        <f>IFERROR(VLOOKUP(E66&amp;F66,'Products &amp; Costs'!$A$4:$C$21,3,FALSE()),IFERROR(VLOOKUP(E66,'Products &amp; Costs'!$A$4:$C$21,3,FALSE()),0))</f>
        <v>0</v>
      </c>
      <c r="J66" s="4">
        <f>IFERROR(IF(C66="Tokopedia",IFERROR(VLOOKUP(E66,'Products &amp; Costs'!$A$4:$E$21,4,FALSE()),0.05)*G66,IF(C66="Shopee",IFERROR(VLOOKUP(E66,'Products &amp; Costs'!$A$4:$E$21,5,FALSE()),0.035)*G66,0)),0)</f>
        <v>0</v>
      </c>
      <c r="K66" s="16"/>
      <c r="L66" s="17">
        <f t="shared" si="7"/>
        <v>0</v>
      </c>
      <c r="M66" s="17">
        <f t="shared" si="8"/>
        <v>0</v>
      </c>
      <c r="N66" s="56" t="str">
        <f t="shared" si="9"/>
        <v>—</v>
      </c>
    </row>
    <row r="67" spans="1:14" x14ac:dyDescent="0.25">
      <c r="A67" s="55">
        <f t="shared" si="0"/>
        <v>63</v>
      </c>
      <c r="B67" s="1"/>
      <c r="C67" s="2"/>
      <c r="D67" s="2"/>
      <c r="E67" s="3"/>
      <c r="F67" s="2"/>
      <c r="G67" s="16"/>
      <c r="H67" s="2"/>
      <c r="I67" s="5">
        <f>IFERROR(VLOOKUP(E67&amp;F67,'Products &amp; Costs'!$A$4:$C$21,3,FALSE()),IFERROR(VLOOKUP(E67,'Products &amp; Costs'!$A$4:$C$21,3,FALSE()),0))</f>
        <v>0</v>
      </c>
      <c r="J67" s="4">
        <f>IFERROR(IF(C67="Tokopedia",IFERROR(VLOOKUP(E67,'Products &amp; Costs'!$A$4:$E$21,4,FALSE()),0.05)*G67,IF(C67="Shopee",IFERROR(VLOOKUP(E67,'Products &amp; Costs'!$A$4:$E$21,5,FALSE()),0.035)*G67,0)),0)</f>
        <v>0</v>
      </c>
      <c r="K67" s="16"/>
      <c r="L67" s="17">
        <f t="shared" si="7"/>
        <v>0</v>
      </c>
      <c r="M67" s="17">
        <f t="shared" si="8"/>
        <v>0</v>
      </c>
      <c r="N67" s="56" t="str">
        <f t="shared" si="9"/>
        <v>—</v>
      </c>
    </row>
    <row r="68" spans="1:14" x14ac:dyDescent="0.25">
      <c r="A68" s="55">
        <f t="shared" si="0"/>
        <v>64</v>
      </c>
      <c r="B68" s="1"/>
      <c r="C68" s="2"/>
      <c r="D68" s="2"/>
      <c r="E68" s="3"/>
      <c r="F68" s="2"/>
      <c r="G68" s="16"/>
      <c r="H68" s="2"/>
      <c r="I68" s="5">
        <f>IFERROR(VLOOKUP(E68&amp;F68,'Products &amp; Costs'!$A$4:$C$21,3,FALSE()),IFERROR(VLOOKUP(E68,'Products &amp; Costs'!$A$4:$C$21,3,FALSE()),0))</f>
        <v>0</v>
      </c>
      <c r="J68" s="4">
        <f>IFERROR(IF(C68="Tokopedia",IFERROR(VLOOKUP(E68,'Products &amp; Costs'!$A$4:$E$21,4,FALSE()),0.05)*G68,IF(C68="Shopee",IFERROR(VLOOKUP(E68,'Products &amp; Costs'!$A$4:$E$21,5,FALSE()),0.035)*G68,0)),0)</f>
        <v>0</v>
      </c>
      <c r="K68" s="16"/>
      <c r="L68" s="17">
        <f t="shared" si="7"/>
        <v>0</v>
      </c>
      <c r="M68" s="17">
        <f t="shared" si="8"/>
        <v>0</v>
      </c>
      <c r="N68" s="56" t="str">
        <f t="shared" si="9"/>
        <v>—</v>
      </c>
    </row>
    <row r="69" spans="1:14" x14ac:dyDescent="0.25">
      <c r="A69" s="55">
        <f t="shared" ref="A69:A99" si="10">ROW()-4</f>
        <v>65</v>
      </c>
      <c r="B69" s="1"/>
      <c r="C69" s="2"/>
      <c r="D69" s="2"/>
      <c r="E69" s="3"/>
      <c r="F69" s="2"/>
      <c r="G69" s="16"/>
      <c r="H69" s="2"/>
      <c r="I69" s="5">
        <f>IFERROR(VLOOKUP(E69&amp;F69,'Products &amp; Costs'!$A$4:$C$21,3,FALSE()),IFERROR(VLOOKUP(E69,'Products &amp; Costs'!$A$4:$C$21,3,FALSE()),0))</f>
        <v>0</v>
      </c>
      <c r="J69" s="4">
        <f>IFERROR(IF(C69="Tokopedia",IFERROR(VLOOKUP(E69,'Products &amp; Costs'!$A$4:$E$21,4,FALSE()),0.05)*G69,IF(C69="Shopee",IFERROR(VLOOKUP(E69,'Products &amp; Costs'!$A$4:$E$21,5,FALSE()),0.035)*G69,0)),0)</f>
        <v>0</v>
      </c>
      <c r="K69" s="16"/>
      <c r="L69" s="17">
        <f t="shared" si="7"/>
        <v>0</v>
      </c>
      <c r="M69" s="17">
        <f t="shared" si="8"/>
        <v>0</v>
      </c>
      <c r="N69" s="56" t="str">
        <f t="shared" si="9"/>
        <v>—</v>
      </c>
    </row>
    <row r="70" spans="1:14" x14ac:dyDescent="0.25">
      <c r="A70" s="55">
        <f t="shared" si="10"/>
        <v>66</v>
      </c>
      <c r="B70" s="1"/>
      <c r="C70" s="2"/>
      <c r="D70" s="2"/>
      <c r="E70" s="3"/>
      <c r="F70" s="2"/>
      <c r="G70" s="16"/>
      <c r="H70" s="2"/>
      <c r="I70" s="5">
        <f>IFERROR(VLOOKUP(E70&amp;F70,'Products &amp; Costs'!$A$4:$C$21,3,FALSE()),IFERROR(VLOOKUP(E70,'Products &amp; Costs'!$A$4:$C$21,3,FALSE()),0))</f>
        <v>0</v>
      </c>
      <c r="J70" s="4">
        <f>IFERROR(IF(C70="Tokopedia",IFERROR(VLOOKUP(E70,'Products &amp; Costs'!$A$4:$E$21,4,FALSE()),0.05)*G70,IF(C70="Shopee",IFERROR(VLOOKUP(E70,'Products &amp; Costs'!$A$4:$E$21,5,FALSE()),0.035)*G70,0)),0)</f>
        <v>0</v>
      </c>
      <c r="K70" s="16"/>
      <c r="L70" s="17">
        <f t="shared" si="7"/>
        <v>0</v>
      </c>
      <c r="M70" s="17">
        <f t="shared" si="8"/>
        <v>0</v>
      </c>
      <c r="N70" s="56" t="str">
        <f t="shared" si="9"/>
        <v>—</v>
      </c>
    </row>
    <row r="71" spans="1:14" x14ac:dyDescent="0.25">
      <c r="A71" s="55">
        <f t="shared" si="10"/>
        <v>67</v>
      </c>
      <c r="B71" s="1"/>
      <c r="C71" s="2"/>
      <c r="D71" s="2"/>
      <c r="E71" s="3"/>
      <c r="F71" s="2"/>
      <c r="G71" s="16"/>
      <c r="H71" s="2"/>
      <c r="I71" s="5">
        <f>IFERROR(VLOOKUP(E71&amp;F71,'Products &amp; Costs'!$A$4:$C$21,3,FALSE()),IFERROR(VLOOKUP(E71,'Products &amp; Costs'!$A$4:$C$21,3,FALSE()),0))</f>
        <v>0</v>
      </c>
      <c r="J71" s="4">
        <f>IFERROR(IF(C71="Tokopedia",IFERROR(VLOOKUP(E71,'Products &amp; Costs'!$A$4:$E$21,4,FALSE()),0.05)*G71,IF(C71="Shopee",IFERROR(VLOOKUP(E71,'Products &amp; Costs'!$A$4:$E$21,5,FALSE()),0.035)*G71,0)),0)</f>
        <v>0</v>
      </c>
      <c r="K71" s="16"/>
      <c r="L71" s="17">
        <f t="shared" si="7"/>
        <v>0</v>
      </c>
      <c r="M71" s="17">
        <f t="shared" si="8"/>
        <v>0</v>
      </c>
      <c r="N71" s="56" t="str">
        <f t="shared" si="9"/>
        <v>—</v>
      </c>
    </row>
    <row r="72" spans="1:14" x14ac:dyDescent="0.25">
      <c r="A72" s="55">
        <f t="shared" si="10"/>
        <v>68</v>
      </c>
      <c r="B72" s="1"/>
      <c r="C72" s="2"/>
      <c r="D72" s="2"/>
      <c r="E72" s="3"/>
      <c r="F72" s="2"/>
      <c r="G72" s="16"/>
      <c r="H72" s="2"/>
      <c r="I72" s="5">
        <f>IFERROR(VLOOKUP(E72&amp;F72,'Products &amp; Costs'!$A$4:$C$21,3,FALSE()),IFERROR(VLOOKUP(E72,'Products &amp; Costs'!$A$4:$C$21,3,FALSE()),0))</f>
        <v>0</v>
      </c>
      <c r="J72" s="4">
        <f>IFERROR(IF(C72="Tokopedia",IFERROR(VLOOKUP(E72,'Products &amp; Costs'!$A$4:$E$21,4,FALSE()),0.05)*G72,IF(C72="Shopee",IFERROR(VLOOKUP(E72,'Products &amp; Costs'!$A$4:$E$21,5,FALSE()),0.035)*G72,0)),0)</f>
        <v>0</v>
      </c>
      <c r="K72" s="16"/>
      <c r="L72" s="17">
        <f t="shared" si="7"/>
        <v>0</v>
      </c>
      <c r="M72" s="17">
        <f t="shared" si="8"/>
        <v>0</v>
      </c>
      <c r="N72" s="56" t="str">
        <f t="shared" si="9"/>
        <v>—</v>
      </c>
    </row>
    <row r="73" spans="1:14" x14ac:dyDescent="0.25">
      <c r="A73" s="55">
        <f t="shared" si="10"/>
        <v>69</v>
      </c>
      <c r="B73" s="1"/>
      <c r="C73" s="2"/>
      <c r="D73" s="2"/>
      <c r="E73" s="3"/>
      <c r="F73" s="2"/>
      <c r="G73" s="16"/>
      <c r="H73" s="2"/>
      <c r="I73" s="5">
        <f>IFERROR(VLOOKUP(E73&amp;F73,'Products &amp; Costs'!$A$4:$C$21,3,FALSE()),IFERROR(VLOOKUP(E73,'Products &amp; Costs'!$A$4:$C$21,3,FALSE()),0))</f>
        <v>0</v>
      </c>
      <c r="J73" s="4">
        <f>IFERROR(IF(C73="Tokopedia",IFERROR(VLOOKUP(E73,'Products &amp; Costs'!$A$4:$E$21,4,FALSE()),0.05)*G73,IF(C73="Shopee",IFERROR(VLOOKUP(E73,'Products &amp; Costs'!$A$4:$E$21,5,FALSE()),0.035)*G73,0)),0)</f>
        <v>0</v>
      </c>
      <c r="K73" s="16"/>
      <c r="L73" s="17">
        <f t="shared" si="7"/>
        <v>0</v>
      </c>
      <c r="M73" s="17">
        <f t="shared" si="8"/>
        <v>0</v>
      </c>
      <c r="N73" s="56" t="str">
        <f t="shared" si="9"/>
        <v>—</v>
      </c>
    </row>
    <row r="74" spans="1:14" x14ac:dyDescent="0.25">
      <c r="A74" s="55">
        <f t="shared" si="10"/>
        <v>70</v>
      </c>
      <c r="B74" s="1"/>
      <c r="C74" s="2"/>
      <c r="D74" s="2"/>
      <c r="E74" s="3"/>
      <c r="F74" s="2"/>
      <c r="G74" s="16"/>
      <c r="H74" s="2"/>
      <c r="I74" s="5">
        <f>IFERROR(VLOOKUP(E74&amp;F74,'Products &amp; Costs'!$A$4:$C$21,3,FALSE()),IFERROR(VLOOKUP(E74,'Products &amp; Costs'!$A$4:$C$21,3,FALSE()),0))</f>
        <v>0</v>
      </c>
      <c r="J74" s="4">
        <f>IFERROR(IF(C74="Tokopedia",IFERROR(VLOOKUP(E74,'Products &amp; Costs'!$A$4:$E$21,4,FALSE()),0.05)*G74,IF(C74="Shopee",IFERROR(VLOOKUP(E74,'Products &amp; Costs'!$A$4:$E$21,5,FALSE()),0.035)*G74,0)),0)</f>
        <v>0</v>
      </c>
      <c r="K74" s="16"/>
      <c r="L74" s="17">
        <f t="shared" si="7"/>
        <v>0</v>
      </c>
      <c r="M74" s="17">
        <f t="shared" si="8"/>
        <v>0</v>
      </c>
      <c r="N74" s="56" t="str">
        <f t="shared" si="9"/>
        <v>—</v>
      </c>
    </row>
    <row r="75" spans="1:14" x14ac:dyDescent="0.25">
      <c r="A75" s="55">
        <f t="shared" si="10"/>
        <v>71</v>
      </c>
      <c r="B75" s="1"/>
      <c r="C75" s="2"/>
      <c r="D75" s="2"/>
      <c r="E75" s="3"/>
      <c r="F75" s="2"/>
      <c r="G75" s="16"/>
      <c r="H75" s="2"/>
      <c r="I75" s="5">
        <f>IFERROR(VLOOKUP(E75&amp;F75,'Products &amp; Costs'!$A$4:$C$21,3,FALSE()),IFERROR(VLOOKUP(E75,'Products &amp; Costs'!$A$4:$C$21,3,FALSE()),0))</f>
        <v>0</v>
      </c>
      <c r="J75" s="4">
        <f>IFERROR(IF(C75="Tokopedia",IFERROR(VLOOKUP(E75,'Products &amp; Costs'!$A$4:$E$21,4,FALSE()),0.05)*G75,IF(C75="Shopee",IFERROR(VLOOKUP(E75,'Products &amp; Costs'!$A$4:$E$21,5,FALSE()),0.035)*G75,0)),0)</f>
        <v>0</v>
      </c>
      <c r="K75" s="16"/>
      <c r="L75" s="17">
        <f t="shared" si="7"/>
        <v>0</v>
      </c>
      <c r="M75" s="17">
        <f t="shared" si="8"/>
        <v>0</v>
      </c>
      <c r="N75" s="56" t="str">
        <f t="shared" si="9"/>
        <v>—</v>
      </c>
    </row>
    <row r="76" spans="1:14" x14ac:dyDescent="0.25">
      <c r="A76" s="55">
        <f t="shared" si="10"/>
        <v>72</v>
      </c>
      <c r="B76" s="1"/>
      <c r="C76" s="2"/>
      <c r="D76" s="2"/>
      <c r="E76" s="3"/>
      <c r="F76" s="2"/>
      <c r="G76" s="16"/>
      <c r="H76" s="2"/>
      <c r="I76" s="5">
        <f>IFERROR(VLOOKUP(E76&amp;F76,'Products &amp; Costs'!$A$4:$C$21,3,FALSE()),IFERROR(VLOOKUP(E76,'Products &amp; Costs'!$A$4:$C$21,3,FALSE()),0))</f>
        <v>0</v>
      </c>
      <c r="J76" s="4">
        <f>IFERROR(IF(C76="Tokopedia",IFERROR(VLOOKUP(E76,'Products &amp; Costs'!$A$4:$E$21,4,FALSE()),0.05)*G76,IF(C76="Shopee",IFERROR(VLOOKUP(E76,'Products &amp; Costs'!$A$4:$E$21,5,FALSE()),0.035)*G76,0)),0)</f>
        <v>0</v>
      </c>
      <c r="K76" s="16"/>
      <c r="L76" s="17">
        <f t="shared" si="7"/>
        <v>0</v>
      </c>
      <c r="M76" s="17">
        <f t="shared" si="8"/>
        <v>0</v>
      </c>
      <c r="N76" s="56" t="str">
        <f t="shared" si="9"/>
        <v>—</v>
      </c>
    </row>
    <row r="77" spans="1:14" x14ac:dyDescent="0.25">
      <c r="A77" s="55">
        <f t="shared" si="10"/>
        <v>73</v>
      </c>
      <c r="B77" s="1"/>
      <c r="C77" s="2"/>
      <c r="D77" s="2"/>
      <c r="E77" s="3"/>
      <c r="F77" s="2"/>
      <c r="G77" s="16"/>
      <c r="H77" s="2"/>
      <c r="I77" s="5">
        <f>IFERROR(VLOOKUP(E77&amp;F77,'Products &amp; Costs'!$A$4:$C$21,3,FALSE()),IFERROR(VLOOKUP(E77,'Products &amp; Costs'!$A$4:$C$21,3,FALSE()),0))</f>
        <v>0</v>
      </c>
      <c r="J77" s="4">
        <f>IFERROR(IF(C77="Tokopedia",IFERROR(VLOOKUP(E77,'Products &amp; Costs'!$A$4:$E$21,4,FALSE()),0.05)*G77,IF(C77="Shopee",IFERROR(VLOOKUP(E77,'Products &amp; Costs'!$A$4:$E$21,5,FALSE()),0.035)*G77,0)),0)</f>
        <v>0</v>
      </c>
      <c r="K77" s="16"/>
      <c r="L77" s="17">
        <f t="shared" si="7"/>
        <v>0</v>
      </c>
      <c r="M77" s="17">
        <f t="shared" si="8"/>
        <v>0</v>
      </c>
      <c r="N77" s="56" t="str">
        <f t="shared" si="9"/>
        <v>—</v>
      </c>
    </row>
    <row r="78" spans="1:14" x14ac:dyDescent="0.25">
      <c r="A78" s="55">
        <f t="shared" si="10"/>
        <v>74</v>
      </c>
      <c r="B78" s="1"/>
      <c r="C78" s="2"/>
      <c r="D78" s="2"/>
      <c r="E78" s="3"/>
      <c r="F78" s="2"/>
      <c r="G78" s="16"/>
      <c r="H78" s="2"/>
      <c r="I78" s="5">
        <f>IFERROR(VLOOKUP(E78&amp;F78,'Products &amp; Costs'!$A$4:$C$21,3,FALSE()),IFERROR(VLOOKUP(E78,'Products &amp; Costs'!$A$4:$C$21,3,FALSE()),0))</f>
        <v>0</v>
      </c>
      <c r="J78" s="4">
        <f>IFERROR(IF(C78="Tokopedia",IFERROR(VLOOKUP(E78,'Products &amp; Costs'!$A$4:$E$21,4,FALSE()),0.05)*G78,IF(C78="Shopee",IFERROR(VLOOKUP(E78,'Products &amp; Costs'!$A$4:$E$21,5,FALSE()),0.035)*G78,0)),0)</f>
        <v>0</v>
      </c>
      <c r="K78" s="16"/>
      <c r="L78" s="17">
        <f t="shared" si="7"/>
        <v>0</v>
      </c>
      <c r="M78" s="17">
        <f t="shared" si="8"/>
        <v>0</v>
      </c>
      <c r="N78" s="56" t="str">
        <f t="shared" si="9"/>
        <v>—</v>
      </c>
    </row>
    <row r="79" spans="1:14" x14ac:dyDescent="0.25">
      <c r="A79" s="55">
        <f t="shared" si="10"/>
        <v>75</v>
      </c>
      <c r="B79" s="1"/>
      <c r="C79" s="2"/>
      <c r="D79" s="2"/>
      <c r="E79" s="3"/>
      <c r="F79" s="2"/>
      <c r="G79" s="16"/>
      <c r="H79" s="2"/>
      <c r="I79" s="5">
        <f>IFERROR(VLOOKUP(E79&amp;F79,'Products &amp; Costs'!$A$4:$C$21,3,FALSE()),IFERROR(VLOOKUP(E79,'Products &amp; Costs'!$A$4:$C$21,3,FALSE()),0))</f>
        <v>0</v>
      </c>
      <c r="J79" s="4">
        <f>IFERROR(IF(C79="Tokopedia",IFERROR(VLOOKUP(E79,'Products &amp; Costs'!$A$4:$E$21,4,FALSE()),0.05)*G79,IF(C79="Shopee",IFERROR(VLOOKUP(E79,'Products &amp; Costs'!$A$4:$E$21,5,FALSE()),0.035)*G79,0)),0)</f>
        <v>0</v>
      </c>
      <c r="K79" s="16"/>
      <c r="L79" s="17">
        <f t="shared" si="7"/>
        <v>0</v>
      </c>
      <c r="M79" s="17">
        <f t="shared" si="8"/>
        <v>0</v>
      </c>
      <c r="N79" s="56" t="str">
        <f t="shared" si="9"/>
        <v>—</v>
      </c>
    </row>
    <row r="80" spans="1:14" x14ac:dyDescent="0.25">
      <c r="A80" s="55">
        <f t="shared" si="10"/>
        <v>76</v>
      </c>
      <c r="B80" s="1"/>
      <c r="C80" s="2"/>
      <c r="D80" s="2"/>
      <c r="E80" s="3"/>
      <c r="F80" s="2"/>
      <c r="G80" s="16"/>
      <c r="H80" s="2"/>
      <c r="I80" s="5">
        <f>IFERROR(VLOOKUP(E80&amp;F80,'Products &amp; Costs'!$A$4:$C$21,3,FALSE()),IFERROR(VLOOKUP(E80,'Products &amp; Costs'!$A$4:$C$21,3,FALSE()),0))</f>
        <v>0</v>
      </c>
      <c r="J80" s="4">
        <f>IFERROR(IF(C80="Tokopedia",IFERROR(VLOOKUP(E80,'Products &amp; Costs'!$A$4:$E$21,4,FALSE()),0.05)*G80,IF(C80="Shopee",IFERROR(VLOOKUP(E80,'Products &amp; Costs'!$A$4:$E$21,5,FALSE()),0.035)*G80,0)),0)</f>
        <v>0</v>
      </c>
      <c r="K80" s="16"/>
      <c r="L80" s="17">
        <f t="shared" si="7"/>
        <v>0</v>
      </c>
      <c r="M80" s="17">
        <f t="shared" si="8"/>
        <v>0</v>
      </c>
      <c r="N80" s="56" t="str">
        <f t="shared" si="9"/>
        <v>—</v>
      </c>
    </row>
    <row r="81" spans="1:14" x14ac:dyDescent="0.25">
      <c r="A81" s="55">
        <f t="shared" si="10"/>
        <v>77</v>
      </c>
      <c r="B81" s="1"/>
      <c r="C81" s="2"/>
      <c r="D81" s="2"/>
      <c r="E81" s="3"/>
      <c r="F81" s="2"/>
      <c r="G81" s="16"/>
      <c r="H81" s="2"/>
      <c r="I81" s="5">
        <f>IFERROR(VLOOKUP(E81&amp;F81,'Products &amp; Costs'!$A$4:$C$21,3,FALSE()),IFERROR(VLOOKUP(E81,'Products &amp; Costs'!$A$4:$C$21,3,FALSE()),0))</f>
        <v>0</v>
      </c>
      <c r="J81" s="4">
        <f>IFERROR(IF(C81="Tokopedia",IFERROR(VLOOKUP(E81,'Products &amp; Costs'!$A$4:$E$21,4,FALSE()),0.05)*G81,IF(C81="Shopee",IFERROR(VLOOKUP(E81,'Products &amp; Costs'!$A$4:$E$21,5,FALSE()),0.035)*G81,0)),0)</f>
        <v>0</v>
      </c>
      <c r="K81" s="16"/>
      <c r="L81" s="17">
        <f t="shared" si="7"/>
        <v>0</v>
      </c>
      <c r="M81" s="17">
        <f t="shared" si="8"/>
        <v>0</v>
      </c>
      <c r="N81" s="56" t="str">
        <f t="shared" si="9"/>
        <v>—</v>
      </c>
    </row>
    <row r="82" spans="1:14" x14ac:dyDescent="0.25">
      <c r="A82" s="55">
        <f t="shared" si="10"/>
        <v>78</v>
      </c>
      <c r="B82" s="1"/>
      <c r="C82" s="2"/>
      <c r="D82" s="2"/>
      <c r="E82" s="3"/>
      <c r="F82" s="2"/>
      <c r="G82" s="16"/>
      <c r="H82" s="2"/>
      <c r="I82" s="5">
        <f>IFERROR(VLOOKUP(E82&amp;F82,'Products &amp; Costs'!$A$4:$C$21,3,FALSE()),IFERROR(VLOOKUP(E82,'Products &amp; Costs'!$A$4:$C$21,3,FALSE()),0))</f>
        <v>0</v>
      </c>
      <c r="J82" s="4">
        <f>IFERROR(IF(C82="Tokopedia",IFERROR(VLOOKUP(E82,'Products &amp; Costs'!$A$4:$E$21,4,FALSE()),0.05)*G82,IF(C82="Shopee",IFERROR(VLOOKUP(E82,'Products &amp; Costs'!$A$4:$E$21,5,FALSE()),0.035)*G82,0)),0)</f>
        <v>0</v>
      </c>
      <c r="K82" s="16"/>
      <c r="L82" s="17">
        <f t="shared" si="7"/>
        <v>0</v>
      </c>
      <c r="M82" s="17">
        <f t="shared" si="8"/>
        <v>0</v>
      </c>
      <c r="N82" s="56" t="str">
        <f t="shared" si="9"/>
        <v>—</v>
      </c>
    </row>
    <row r="83" spans="1:14" x14ac:dyDescent="0.25">
      <c r="A83" s="55">
        <f t="shared" si="10"/>
        <v>79</v>
      </c>
      <c r="B83" s="1"/>
      <c r="C83" s="2"/>
      <c r="D83" s="2"/>
      <c r="E83" s="3"/>
      <c r="F83" s="2"/>
      <c r="G83" s="16"/>
      <c r="H83" s="2"/>
      <c r="I83" s="5">
        <f>IFERROR(VLOOKUP(E83&amp;F83,'Products &amp; Costs'!$A$4:$C$21,3,FALSE()),IFERROR(VLOOKUP(E83,'Products &amp; Costs'!$A$4:$C$21,3,FALSE()),0))</f>
        <v>0</v>
      </c>
      <c r="J83" s="4">
        <f>IFERROR(IF(C83="Tokopedia",IFERROR(VLOOKUP(E83,'Products &amp; Costs'!$A$4:$E$21,4,FALSE()),0.05)*G83,IF(C83="Shopee",IFERROR(VLOOKUP(E83,'Products &amp; Costs'!$A$4:$E$21,5,FALSE()),0.035)*G83,0)),0)</f>
        <v>0</v>
      </c>
      <c r="K83" s="16"/>
      <c r="L83" s="17">
        <f t="shared" si="7"/>
        <v>0</v>
      </c>
      <c r="M83" s="17">
        <f t="shared" si="8"/>
        <v>0</v>
      </c>
      <c r="N83" s="56" t="str">
        <f t="shared" si="9"/>
        <v>—</v>
      </c>
    </row>
    <row r="84" spans="1:14" x14ac:dyDescent="0.25">
      <c r="A84" s="55">
        <f t="shared" si="10"/>
        <v>80</v>
      </c>
      <c r="B84" s="1"/>
      <c r="C84" s="2"/>
      <c r="D84" s="2"/>
      <c r="E84" s="3"/>
      <c r="F84" s="2"/>
      <c r="G84" s="16"/>
      <c r="H84" s="2"/>
      <c r="I84" s="5">
        <f>IFERROR(VLOOKUP(E84&amp;F84,'Products &amp; Costs'!$A$4:$C$21,3,FALSE()),IFERROR(VLOOKUP(E84,'Products &amp; Costs'!$A$4:$C$21,3,FALSE()),0))</f>
        <v>0</v>
      </c>
      <c r="J84" s="4">
        <f>IFERROR(IF(C84="Tokopedia",IFERROR(VLOOKUP(E84,'Products &amp; Costs'!$A$4:$E$21,4,FALSE()),0.05)*G84,IF(C84="Shopee",IFERROR(VLOOKUP(E84,'Products &amp; Costs'!$A$4:$E$21,5,FALSE()),0.035)*G84,0)),0)</f>
        <v>0</v>
      </c>
      <c r="K84" s="16"/>
      <c r="L84" s="17">
        <f t="shared" si="7"/>
        <v>0</v>
      </c>
      <c r="M84" s="17">
        <f t="shared" si="8"/>
        <v>0</v>
      </c>
      <c r="N84" s="56" t="str">
        <f t="shared" si="9"/>
        <v>—</v>
      </c>
    </row>
    <row r="85" spans="1:14" x14ac:dyDescent="0.25">
      <c r="A85" s="55">
        <f t="shared" si="10"/>
        <v>81</v>
      </c>
      <c r="B85" s="1"/>
      <c r="C85" s="2"/>
      <c r="D85" s="2"/>
      <c r="E85" s="3"/>
      <c r="F85" s="2"/>
      <c r="G85" s="16"/>
      <c r="H85" s="2"/>
      <c r="I85" s="5">
        <f>IFERROR(VLOOKUP(E85&amp;F85,'Products &amp; Costs'!$A$4:$C$21,3,FALSE()),IFERROR(VLOOKUP(E85,'Products &amp; Costs'!$A$4:$C$21,3,FALSE()),0))</f>
        <v>0</v>
      </c>
      <c r="J85" s="4">
        <f>IFERROR(IF(C85="Tokopedia",IFERROR(VLOOKUP(E85,'Products &amp; Costs'!$A$4:$E$21,4,FALSE()),0.05)*G85,IF(C85="Shopee",IFERROR(VLOOKUP(E85,'Products &amp; Costs'!$A$4:$E$21,5,FALSE()),0.035)*G85,0)),0)</f>
        <v>0</v>
      </c>
      <c r="K85" s="16"/>
      <c r="L85" s="17">
        <f t="shared" si="7"/>
        <v>0</v>
      </c>
      <c r="M85" s="17">
        <f t="shared" si="8"/>
        <v>0</v>
      </c>
      <c r="N85" s="56" t="str">
        <f t="shared" si="9"/>
        <v>—</v>
      </c>
    </row>
    <row r="86" spans="1:14" x14ac:dyDescent="0.25">
      <c r="A86" s="55">
        <f t="shared" si="10"/>
        <v>82</v>
      </c>
      <c r="B86" s="1"/>
      <c r="C86" s="2"/>
      <c r="D86" s="2"/>
      <c r="E86" s="3"/>
      <c r="F86" s="2"/>
      <c r="G86" s="16"/>
      <c r="H86" s="2"/>
      <c r="I86" s="5">
        <f>IFERROR(VLOOKUP(E86&amp;F86,'Products &amp; Costs'!$A$4:$C$21,3,FALSE()),IFERROR(VLOOKUP(E86,'Products &amp; Costs'!$A$4:$C$21,3,FALSE()),0))</f>
        <v>0</v>
      </c>
      <c r="J86" s="4">
        <f>IFERROR(IF(C86="Tokopedia",IFERROR(VLOOKUP(E86,'Products &amp; Costs'!$A$4:$E$21,4,FALSE()),0.05)*G86,IF(C86="Shopee",IFERROR(VLOOKUP(E86,'Products &amp; Costs'!$A$4:$E$21,5,FALSE()),0.035)*G86,0)),0)</f>
        <v>0</v>
      </c>
      <c r="K86" s="16"/>
      <c r="L86" s="17">
        <f t="shared" si="7"/>
        <v>0</v>
      </c>
      <c r="M86" s="17">
        <f t="shared" si="8"/>
        <v>0</v>
      </c>
      <c r="N86" s="56" t="str">
        <f t="shared" si="9"/>
        <v>—</v>
      </c>
    </row>
    <row r="87" spans="1:14" x14ac:dyDescent="0.25">
      <c r="A87" s="55">
        <f t="shared" si="10"/>
        <v>83</v>
      </c>
      <c r="B87" s="1"/>
      <c r="C87" s="2"/>
      <c r="D87" s="2"/>
      <c r="E87" s="3"/>
      <c r="F87" s="2"/>
      <c r="G87" s="16"/>
      <c r="H87" s="2"/>
      <c r="I87" s="5">
        <f>IFERROR(VLOOKUP(E87&amp;F87,'Products &amp; Costs'!$A$4:$C$21,3,FALSE()),IFERROR(VLOOKUP(E87,'Products &amp; Costs'!$A$4:$C$21,3,FALSE()),0))</f>
        <v>0</v>
      </c>
      <c r="J87" s="4">
        <f>IFERROR(IF(C87="Tokopedia",IFERROR(VLOOKUP(E87,'Products &amp; Costs'!$A$4:$E$21,4,FALSE()),0.05)*G87,IF(C87="Shopee",IFERROR(VLOOKUP(E87,'Products &amp; Costs'!$A$4:$E$21,5,FALSE()),0.035)*G87,0)),0)</f>
        <v>0</v>
      </c>
      <c r="K87" s="16"/>
      <c r="L87" s="17">
        <f t="shared" si="7"/>
        <v>0</v>
      </c>
      <c r="M87" s="17">
        <f t="shared" si="8"/>
        <v>0</v>
      </c>
      <c r="N87" s="56" t="str">
        <f t="shared" si="9"/>
        <v>—</v>
      </c>
    </row>
    <row r="88" spans="1:14" x14ac:dyDescent="0.25">
      <c r="A88" s="55">
        <f t="shared" si="10"/>
        <v>84</v>
      </c>
      <c r="B88" s="1"/>
      <c r="C88" s="2"/>
      <c r="D88" s="2"/>
      <c r="E88" s="3"/>
      <c r="F88" s="2"/>
      <c r="G88" s="16"/>
      <c r="H88" s="2"/>
      <c r="I88" s="5">
        <f>IFERROR(VLOOKUP(E88&amp;F88,'Products &amp; Costs'!$A$4:$C$21,3,FALSE()),IFERROR(VLOOKUP(E88,'Products &amp; Costs'!$A$4:$C$21,3,FALSE()),0))</f>
        <v>0</v>
      </c>
      <c r="J88" s="4">
        <f>IFERROR(IF(C88="Tokopedia",IFERROR(VLOOKUP(E88,'Products &amp; Costs'!$A$4:$E$21,4,FALSE()),0.05)*G88,IF(C88="Shopee",IFERROR(VLOOKUP(E88,'Products &amp; Costs'!$A$4:$E$21,5,FALSE()),0.035)*G88,0)),0)</f>
        <v>0</v>
      </c>
      <c r="K88" s="16"/>
      <c r="L88" s="17">
        <f t="shared" si="7"/>
        <v>0</v>
      </c>
      <c r="M88" s="17">
        <f t="shared" si="8"/>
        <v>0</v>
      </c>
      <c r="N88" s="56" t="str">
        <f t="shared" si="9"/>
        <v>—</v>
      </c>
    </row>
    <row r="89" spans="1:14" x14ac:dyDescent="0.25">
      <c r="A89" s="55">
        <f t="shared" si="10"/>
        <v>85</v>
      </c>
      <c r="B89" s="1"/>
      <c r="C89" s="2"/>
      <c r="D89" s="2"/>
      <c r="E89" s="3"/>
      <c r="F89" s="2"/>
      <c r="G89" s="16"/>
      <c r="H89" s="2"/>
      <c r="I89" s="5">
        <f>IFERROR(VLOOKUP(E89&amp;F89,'Products &amp; Costs'!$A$4:$C$21,3,FALSE()),IFERROR(VLOOKUP(E89,'Products &amp; Costs'!$A$4:$C$21,3,FALSE()),0))</f>
        <v>0</v>
      </c>
      <c r="J89" s="4">
        <f>IFERROR(IF(C89="Tokopedia",IFERROR(VLOOKUP(E89,'Products &amp; Costs'!$A$4:$E$21,4,FALSE()),0.05)*G89,IF(C89="Shopee",IFERROR(VLOOKUP(E89,'Products &amp; Costs'!$A$4:$E$21,5,FALSE()),0.035)*G89,0)),0)</f>
        <v>0</v>
      </c>
      <c r="K89" s="16"/>
      <c r="L89" s="17">
        <f t="shared" si="7"/>
        <v>0</v>
      </c>
      <c r="M89" s="17">
        <f t="shared" si="8"/>
        <v>0</v>
      </c>
      <c r="N89" s="56" t="str">
        <f t="shared" si="9"/>
        <v>—</v>
      </c>
    </row>
    <row r="90" spans="1:14" x14ac:dyDescent="0.25">
      <c r="A90" s="55">
        <f t="shared" si="10"/>
        <v>86</v>
      </c>
      <c r="B90" s="1"/>
      <c r="C90" s="2"/>
      <c r="D90" s="2"/>
      <c r="E90" s="3"/>
      <c r="F90" s="2"/>
      <c r="G90" s="16"/>
      <c r="H90" s="2"/>
      <c r="I90" s="5">
        <f>IFERROR(VLOOKUP(E90&amp;F90,'Products &amp; Costs'!$A$4:$C$21,3,FALSE()),IFERROR(VLOOKUP(E90,'Products &amp; Costs'!$A$4:$C$21,3,FALSE()),0))</f>
        <v>0</v>
      </c>
      <c r="J90" s="4">
        <f>IFERROR(IF(C90="Tokopedia",IFERROR(VLOOKUP(E90,'Products &amp; Costs'!$A$4:$E$21,4,FALSE()),0.05)*G90,IF(C90="Shopee",IFERROR(VLOOKUP(E90,'Products &amp; Costs'!$A$4:$E$21,5,FALSE()),0.035)*G90,0)),0)</f>
        <v>0</v>
      </c>
      <c r="K90" s="16"/>
      <c r="L90" s="17">
        <f t="shared" si="7"/>
        <v>0</v>
      </c>
      <c r="M90" s="17">
        <f t="shared" si="8"/>
        <v>0</v>
      </c>
      <c r="N90" s="56" t="str">
        <f t="shared" si="9"/>
        <v>—</v>
      </c>
    </row>
    <row r="91" spans="1:14" x14ac:dyDescent="0.25">
      <c r="A91" s="55">
        <f t="shared" si="10"/>
        <v>87</v>
      </c>
      <c r="B91" s="1"/>
      <c r="C91" s="2"/>
      <c r="D91" s="2"/>
      <c r="E91" s="3"/>
      <c r="F91" s="2"/>
      <c r="G91" s="16"/>
      <c r="H91" s="2"/>
      <c r="I91" s="5">
        <f>IFERROR(VLOOKUP(E91&amp;F91,'Products &amp; Costs'!$A$4:$C$21,3,FALSE()),IFERROR(VLOOKUP(E91,'Products &amp; Costs'!$A$4:$C$21,3,FALSE()),0))</f>
        <v>0</v>
      </c>
      <c r="J91" s="4">
        <f>IFERROR(IF(C91="Tokopedia",IFERROR(VLOOKUP(E91,'Products &amp; Costs'!$A$4:$E$21,4,FALSE()),0.05)*G91,IF(C91="Shopee",IFERROR(VLOOKUP(E91,'Products &amp; Costs'!$A$4:$E$21,5,FALSE()),0.035)*G91,0)),0)</f>
        <v>0</v>
      </c>
      <c r="K91" s="16"/>
      <c r="L91" s="17">
        <f t="shared" si="7"/>
        <v>0</v>
      </c>
      <c r="M91" s="17">
        <f t="shared" si="8"/>
        <v>0</v>
      </c>
      <c r="N91" s="56" t="str">
        <f t="shared" si="9"/>
        <v>—</v>
      </c>
    </row>
    <row r="92" spans="1:14" x14ac:dyDescent="0.25">
      <c r="A92" s="55">
        <f t="shared" si="10"/>
        <v>88</v>
      </c>
      <c r="B92" s="1"/>
      <c r="C92" s="2"/>
      <c r="D92" s="2"/>
      <c r="E92" s="3"/>
      <c r="F92" s="2"/>
      <c r="G92" s="16"/>
      <c r="H92" s="2"/>
      <c r="I92" s="5">
        <f>IFERROR(VLOOKUP(E92&amp;F92,'Products &amp; Costs'!$A$4:$C$21,3,FALSE()),IFERROR(VLOOKUP(E92,'Products &amp; Costs'!$A$4:$C$21,3,FALSE()),0))</f>
        <v>0</v>
      </c>
      <c r="J92" s="4">
        <f>IFERROR(IF(C92="Tokopedia",IFERROR(VLOOKUP(E92,'Products &amp; Costs'!$A$4:$E$21,4,FALSE()),0.05)*G92,IF(C92="Shopee",IFERROR(VLOOKUP(E92,'Products &amp; Costs'!$A$4:$E$21,5,FALSE()),0.035)*G92,0)),0)</f>
        <v>0</v>
      </c>
      <c r="K92" s="16"/>
      <c r="L92" s="17">
        <f t="shared" si="7"/>
        <v>0</v>
      </c>
      <c r="M92" s="17">
        <f t="shared" si="8"/>
        <v>0</v>
      </c>
      <c r="N92" s="56" t="str">
        <f t="shared" si="9"/>
        <v>—</v>
      </c>
    </row>
    <row r="93" spans="1:14" x14ac:dyDescent="0.25">
      <c r="A93" s="55">
        <f t="shared" si="10"/>
        <v>89</v>
      </c>
      <c r="B93" s="1"/>
      <c r="C93" s="2"/>
      <c r="D93" s="2"/>
      <c r="E93" s="3"/>
      <c r="F93" s="2"/>
      <c r="G93" s="16"/>
      <c r="H93" s="2"/>
      <c r="I93" s="5">
        <f>IFERROR(VLOOKUP(E93&amp;F93,'Products &amp; Costs'!$A$4:$C$21,3,FALSE()),IFERROR(VLOOKUP(E93,'Products &amp; Costs'!$A$4:$C$21,3,FALSE()),0))</f>
        <v>0</v>
      </c>
      <c r="J93" s="4">
        <f>IFERROR(IF(C93="Tokopedia",IFERROR(VLOOKUP(E93,'Products &amp; Costs'!$A$4:$E$21,4,FALSE()),0.05)*G93,IF(C93="Shopee",IFERROR(VLOOKUP(E93,'Products &amp; Costs'!$A$4:$E$21,5,FALSE()),0.035)*G93,0)),0)</f>
        <v>0</v>
      </c>
      <c r="K93" s="16"/>
      <c r="L93" s="17">
        <f t="shared" si="7"/>
        <v>0</v>
      </c>
      <c r="M93" s="17">
        <f t="shared" si="8"/>
        <v>0</v>
      </c>
      <c r="N93" s="56" t="str">
        <f t="shared" si="9"/>
        <v>—</v>
      </c>
    </row>
    <row r="94" spans="1:14" x14ac:dyDescent="0.25">
      <c r="A94" s="55">
        <f t="shared" si="10"/>
        <v>90</v>
      </c>
      <c r="B94" s="1"/>
      <c r="C94" s="2"/>
      <c r="D94" s="2"/>
      <c r="E94" s="3"/>
      <c r="F94" s="2"/>
      <c r="G94" s="16"/>
      <c r="H94" s="2"/>
      <c r="I94" s="5">
        <f>IFERROR(VLOOKUP(E94&amp;F94,'Products &amp; Costs'!$A$4:$C$21,3,FALSE()),IFERROR(VLOOKUP(E94,'Products &amp; Costs'!$A$4:$C$21,3,FALSE()),0))</f>
        <v>0</v>
      </c>
      <c r="J94" s="4">
        <f>IFERROR(IF(C94="Tokopedia",IFERROR(VLOOKUP(E94,'Products &amp; Costs'!$A$4:$E$21,4,FALSE()),0.05)*G94,IF(C94="Shopee",IFERROR(VLOOKUP(E94,'Products &amp; Costs'!$A$4:$E$21,5,FALSE()),0.035)*G94,0)),0)</f>
        <v>0</v>
      </c>
      <c r="K94" s="16"/>
      <c r="L94" s="17">
        <f t="shared" si="7"/>
        <v>0</v>
      </c>
      <c r="M94" s="17">
        <f t="shared" si="8"/>
        <v>0</v>
      </c>
      <c r="N94" s="56" t="str">
        <f t="shared" si="9"/>
        <v>—</v>
      </c>
    </row>
    <row r="95" spans="1:14" x14ac:dyDescent="0.25">
      <c r="A95" s="55">
        <f t="shared" si="10"/>
        <v>91</v>
      </c>
      <c r="B95" s="1"/>
      <c r="C95" s="2"/>
      <c r="D95" s="2"/>
      <c r="E95" s="3"/>
      <c r="F95" s="2"/>
      <c r="G95" s="16"/>
      <c r="H95" s="2"/>
      <c r="I95" s="5">
        <f>IFERROR(VLOOKUP(E95&amp;F95,'Products &amp; Costs'!$A$4:$C$21,3,FALSE()),IFERROR(VLOOKUP(E95,'Products &amp; Costs'!$A$4:$C$21,3,FALSE()),0))</f>
        <v>0</v>
      </c>
      <c r="J95" s="4">
        <f>IFERROR(IF(C95="Tokopedia",IFERROR(VLOOKUP(E95,'Products &amp; Costs'!$A$4:$E$21,4,FALSE()),0.05)*G95,IF(C95="Shopee",IFERROR(VLOOKUP(E95,'Products &amp; Costs'!$A$4:$E$21,5,FALSE()),0.035)*G95,0)),0)</f>
        <v>0</v>
      </c>
      <c r="K95" s="16"/>
      <c r="L95" s="17">
        <f t="shared" si="7"/>
        <v>0</v>
      </c>
      <c r="M95" s="17">
        <f t="shared" si="8"/>
        <v>0</v>
      </c>
      <c r="N95" s="56" t="str">
        <f t="shared" si="9"/>
        <v>—</v>
      </c>
    </row>
    <row r="96" spans="1:14" x14ac:dyDescent="0.25">
      <c r="A96" s="55">
        <f t="shared" si="10"/>
        <v>92</v>
      </c>
      <c r="B96" s="1"/>
      <c r="C96" s="2"/>
      <c r="D96" s="2"/>
      <c r="E96" s="3"/>
      <c r="F96" s="2"/>
      <c r="G96" s="16"/>
      <c r="H96" s="2"/>
      <c r="I96" s="5">
        <f>IFERROR(VLOOKUP(E96&amp;F96,'Products &amp; Costs'!$A$4:$C$21,3,FALSE()),IFERROR(VLOOKUP(E96,'Products &amp; Costs'!$A$4:$C$21,3,FALSE()),0))</f>
        <v>0</v>
      </c>
      <c r="J96" s="4">
        <f>IFERROR(IF(C96="Tokopedia",IFERROR(VLOOKUP(E96,'Products &amp; Costs'!$A$4:$E$21,4,FALSE()),0.05)*G96,IF(C96="Shopee",IFERROR(VLOOKUP(E96,'Products &amp; Costs'!$A$4:$E$21,5,FALSE()),0.035)*G96,0)),0)</f>
        <v>0</v>
      </c>
      <c r="K96" s="16"/>
      <c r="L96" s="17">
        <f t="shared" si="7"/>
        <v>0</v>
      </c>
      <c r="M96" s="17">
        <f t="shared" si="8"/>
        <v>0</v>
      </c>
      <c r="N96" s="56" t="str">
        <f t="shared" si="9"/>
        <v>—</v>
      </c>
    </row>
    <row r="97" spans="1:14" x14ac:dyDescent="0.25">
      <c r="A97" s="55">
        <f t="shared" si="10"/>
        <v>93</v>
      </c>
      <c r="B97" s="1"/>
      <c r="C97" s="2"/>
      <c r="D97" s="2"/>
      <c r="E97" s="3"/>
      <c r="F97" s="2"/>
      <c r="G97" s="16"/>
      <c r="H97" s="2"/>
      <c r="I97" s="5">
        <f>IFERROR(VLOOKUP(E97&amp;F97,'Products &amp; Costs'!$A$4:$C$21,3,FALSE()),IFERROR(VLOOKUP(E97,'Products &amp; Costs'!$A$4:$C$21,3,FALSE()),0))</f>
        <v>0</v>
      </c>
      <c r="J97" s="4">
        <f>IFERROR(IF(C97="Tokopedia",IFERROR(VLOOKUP(E97,'Products &amp; Costs'!$A$4:$E$21,4,FALSE()),0.05)*G97,IF(C97="Shopee",IFERROR(VLOOKUP(E97,'Products &amp; Costs'!$A$4:$E$21,5,FALSE()),0.035)*G97,0)),0)</f>
        <v>0</v>
      </c>
      <c r="K97" s="16"/>
      <c r="L97" s="17">
        <f t="shared" si="7"/>
        <v>0</v>
      </c>
      <c r="M97" s="17">
        <f t="shared" si="8"/>
        <v>0</v>
      </c>
      <c r="N97" s="56" t="str">
        <f t="shared" si="9"/>
        <v>—</v>
      </c>
    </row>
    <row r="98" spans="1:14" x14ac:dyDescent="0.25">
      <c r="A98" s="55">
        <f t="shared" si="10"/>
        <v>94</v>
      </c>
      <c r="B98" s="1"/>
      <c r="C98" s="2"/>
      <c r="D98" s="2"/>
      <c r="E98" s="3"/>
      <c r="F98" s="2"/>
      <c r="G98" s="16"/>
      <c r="H98" s="2"/>
      <c r="I98" s="5">
        <f>IFERROR(VLOOKUP(E98&amp;F98,'Products &amp; Costs'!$A$4:$C$21,3,FALSE()),IFERROR(VLOOKUP(E98,'Products &amp; Costs'!$A$4:$C$21,3,FALSE()),0))</f>
        <v>0</v>
      </c>
      <c r="J98" s="4">
        <f>IFERROR(IF(C98="Tokopedia",IFERROR(VLOOKUP(E98,'Products &amp; Costs'!$A$4:$E$21,4,FALSE()),0.05)*G98,IF(C98="Shopee",IFERROR(VLOOKUP(E98,'Products &amp; Costs'!$A$4:$E$21,5,FALSE()),0.035)*G98,0)),0)</f>
        <v>0</v>
      </c>
      <c r="K98" s="16"/>
      <c r="L98" s="17">
        <f t="shared" si="7"/>
        <v>0</v>
      </c>
      <c r="M98" s="17">
        <f t="shared" si="8"/>
        <v>0</v>
      </c>
      <c r="N98" s="56" t="str">
        <f t="shared" si="9"/>
        <v>—</v>
      </c>
    </row>
    <row r="99" spans="1:14" x14ac:dyDescent="0.25">
      <c r="A99" s="60">
        <f t="shared" si="10"/>
        <v>95</v>
      </c>
      <c r="B99" s="61"/>
      <c r="C99" s="62"/>
      <c r="D99" s="62"/>
      <c r="E99" s="63"/>
      <c r="F99" s="62"/>
      <c r="G99" s="64"/>
      <c r="H99" s="62"/>
      <c r="I99" s="65">
        <f>IFERROR(VLOOKUP(E99&amp;F99,'Products &amp; Costs'!$A$4:$C$21,3,FALSE()),IFERROR(VLOOKUP(E99,'Products &amp; Costs'!$A$4:$C$21,3,FALSE()),0))</f>
        <v>0</v>
      </c>
      <c r="J99" s="66">
        <f>IFERROR(IF(C99="Tokopedia",IFERROR(VLOOKUP(E99,'Products &amp; Costs'!$A$4:$E$21,4,FALSE()),0.05)*G99,IF(C99="Shopee",IFERROR(VLOOKUP(E99,'Products &amp; Costs'!$A$4:$E$21,5,FALSE()),0.035)*G99,0)),0)</f>
        <v>0</v>
      </c>
      <c r="K99" s="64"/>
      <c r="L99" s="67">
        <f t="shared" ref="L99" si="11">IFERROR(G99-(I99*H99),0)</f>
        <v>0</v>
      </c>
      <c r="M99" s="67">
        <f t="shared" ref="M99" si="12">IFERROR(L99-J99-IF(K99="",0,K99),0)</f>
        <v>0</v>
      </c>
      <c r="N99" s="68" t="str">
        <f t="shared" ref="N99" si="13">IF(M99&gt;0,"✅ Profit",IF(M99&lt;0,"❌ Loss","—"))</f>
        <v>—</v>
      </c>
    </row>
    <row r="100" spans="1:14" x14ac:dyDescent="0.25">
      <c r="A100" s="40" t="s">
        <v>37</v>
      </c>
      <c r="B100" s="40"/>
      <c r="C100" s="40"/>
      <c r="D100" s="40"/>
      <c r="E100" s="40"/>
      <c r="F100" s="40"/>
      <c r="G100" s="6">
        <f>SUM(G5:G99)</f>
        <v>0</v>
      </c>
      <c r="I100" s="6">
        <f>SUM(I5:I99)</f>
        <v>0</v>
      </c>
      <c r="J100" s="6">
        <f>SUM(J5:J99)</f>
        <v>0</v>
      </c>
      <c r="K100" s="6">
        <f>SUM(K5:K99)</f>
        <v>0</v>
      </c>
      <c r="L100" s="6">
        <f>SUM(L5:L99)</f>
        <v>0</v>
      </c>
      <c r="M100" s="6">
        <f>SUM(M5:M99)</f>
        <v>0</v>
      </c>
    </row>
  </sheetData>
  <mergeCells count="9">
    <mergeCell ref="Q11:T11"/>
    <mergeCell ref="A100:F100"/>
    <mergeCell ref="A1:N1"/>
    <mergeCell ref="A2:N2"/>
    <mergeCell ref="A3:D3"/>
    <mergeCell ref="E3:F3"/>
    <mergeCell ref="G3:H3"/>
    <mergeCell ref="I3:K3"/>
    <mergeCell ref="L3:N3"/>
  </mergeCells>
  <phoneticPr fontId="16" type="noConversion"/>
  <conditionalFormatting sqref="C5:C99">
    <cfRule type="expression" dxfId="104" priority="3">
      <formula>C5=""</formula>
    </cfRule>
    <cfRule type="containsText" dxfId="103" priority="4" operator="containsText" text="Shopee">
      <formula>NOT(ISERROR(SEARCH("Shopee",C5)))</formula>
    </cfRule>
    <cfRule type="containsText" dxfId="102" priority="5" operator="containsText" text="Tokopedia">
      <formula>NOT(ISERROR(SEARCH("Tokopedia",C5)))</formula>
    </cfRule>
  </conditionalFormatting>
  <conditionalFormatting sqref="N5:N99">
    <cfRule type="containsText" dxfId="101" priority="1" operator="containsText" text="Loss">
      <formula>NOT(ISERROR(SEARCH("Loss",N5)))</formula>
    </cfRule>
    <cfRule type="containsText" dxfId="100" priority="2" operator="containsText" text="profit">
      <formula>NOT(ISERROR(SEARCH("profit",N5)))</formula>
    </cfRule>
  </conditionalFormatting>
  <dataValidations count="3">
    <dataValidation type="list" allowBlank="1" showInputMessage="1" showErrorMessage="1" sqref="E5:E99" xr:uid="{4AAEF1F0-6CA9-4047-9736-DA97CC9357C9}">
      <formula1>ProductList</formula1>
    </dataValidation>
    <dataValidation type="list" allowBlank="1" showInputMessage="1" showErrorMessage="1" sqref="F5:F99" xr:uid="{243C7BD2-78DE-4014-8FC5-AA46E5DE1BFF}">
      <formula1>VariantList</formula1>
    </dataValidation>
    <dataValidation type="list" allowBlank="1" showInputMessage="1" showErrorMessage="1" sqref="C5:C99" xr:uid="{2C1C5B36-A646-465E-B4C8-D4D026C01389}">
      <formula1>PlatformNames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showGridLines="0" tabSelected="1" zoomScaleNormal="100" workbookViewId="0">
      <pane ySplit="3" topLeftCell="A4" activePane="bottomLeft" state="frozen"/>
      <selection pane="bottomLeft" activeCell="G22" sqref="G22"/>
    </sheetView>
  </sheetViews>
  <sheetFormatPr defaultColWidth="8.7109375" defaultRowHeight="15" x14ac:dyDescent="0.25"/>
  <cols>
    <col min="1" max="1" width="22" customWidth="1"/>
    <col min="2" max="2" width="17.7109375" bestFit="1" customWidth="1"/>
    <col min="3" max="3" width="25" bestFit="1" customWidth="1"/>
    <col min="4" max="4" width="29.85546875" bestFit="1" customWidth="1"/>
    <col min="5" max="5" width="14.42578125" customWidth="1"/>
    <col min="6" max="6" width="23.42578125" customWidth="1"/>
    <col min="7" max="7" width="12.7109375" customWidth="1"/>
    <col min="8" max="8" width="22.85546875" customWidth="1"/>
  </cols>
  <sheetData>
    <row r="1" spans="1:7" ht="31.5" customHeight="1" x14ac:dyDescent="0.25">
      <c r="A1" s="48" t="s">
        <v>38</v>
      </c>
      <c r="B1" s="48"/>
      <c r="C1" s="48"/>
      <c r="D1" s="48"/>
      <c r="E1" s="48"/>
      <c r="F1" s="48"/>
      <c r="G1" s="48"/>
    </row>
    <row r="2" spans="1:7" ht="18" customHeight="1" x14ac:dyDescent="0.25">
      <c r="A2" s="48"/>
      <c r="B2" s="48"/>
      <c r="C2" s="48"/>
      <c r="D2" s="48"/>
      <c r="E2" s="48"/>
      <c r="F2" s="48"/>
      <c r="G2" s="48"/>
    </row>
    <row r="3" spans="1:7" ht="21.75" customHeight="1" x14ac:dyDescent="0.25">
      <c r="A3" s="19" t="s">
        <v>25</v>
      </c>
      <c r="B3" s="20" t="s">
        <v>39</v>
      </c>
      <c r="C3" s="20" t="s">
        <v>40</v>
      </c>
      <c r="D3" s="21" t="s">
        <v>41</v>
      </c>
      <c r="F3" s="51" t="s">
        <v>99</v>
      </c>
      <c r="G3" s="52" t="s">
        <v>102</v>
      </c>
    </row>
    <row r="4" spans="1:7" ht="19.5" customHeight="1" x14ac:dyDescent="0.25">
      <c r="A4" s="22" t="s">
        <v>12</v>
      </c>
      <c r="B4" s="23" t="s">
        <v>36</v>
      </c>
      <c r="C4" s="24">
        <v>19000</v>
      </c>
      <c r="D4" s="23" t="s">
        <v>42</v>
      </c>
      <c r="F4" s="49" t="s">
        <v>11</v>
      </c>
      <c r="G4" s="50">
        <v>0</v>
      </c>
    </row>
    <row r="5" spans="1:7" ht="19.5" customHeight="1" x14ac:dyDescent="0.25">
      <c r="A5" s="22" t="s">
        <v>12</v>
      </c>
      <c r="B5" s="23" t="s">
        <v>43</v>
      </c>
      <c r="C5" s="24">
        <v>19000</v>
      </c>
      <c r="D5" s="23" t="s">
        <v>42</v>
      </c>
      <c r="F5" s="49" t="s">
        <v>13</v>
      </c>
      <c r="G5" s="50">
        <v>0</v>
      </c>
    </row>
    <row r="6" spans="1:7" ht="19.5" customHeight="1" x14ac:dyDescent="0.25">
      <c r="A6" s="22" t="s">
        <v>12</v>
      </c>
      <c r="B6" s="23" t="s">
        <v>35</v>
      </c>
      <c r="C6" s="24">
        <v>19000</v>
      </c>
      <c r="D6" s="23" t="s">
        <v>42</v>
      </c>
      <c r="F6" s="49" t="s">
        <v>100</v>
      </c>
      <c r="G6" s="50">
        <v>0</v>
      </c>
    </row>
    <row r="7" spans="1:7" ht="19.5" customHeight="1" x14ac:dyDescent="0.25">
      <c r="A7" s="22" t="s">
        <v>12</v>
      </c>
      <c r="B7" s="23" t="s">
        <v>44</v>
      </c>
      <c r="C7" s="24">
        <v>19000</v>
      </c>
      <c r="D7" s="23" t="s">
        <v>42</v>
      </c>
      <c r="F7" s="53" t="s">
        <v>101</v>
      </c>
      <c r="G7" s="50">
        <v>0</v>
      </c>
    </row>
    <row r="8" spans="1:7" ht="19.5" customHeight="1" x14ac:dyDescent="0.25">
      <c r="A8" s="22" t="s">
        <v>14</v>
      </c>
      <c r="B8" s="23" t="s">
        <v>34</v>
      </c>
      <c r="C8" s="24">
        <v>16000</v>
      </c>
      <c r="D8" s="23" t="s">
        <v>45</v>
      </c>
    </row>
    <row r="9" spans="1:7" ht="19.5" customHeight="1" x14ac:dyDescent="0.25">
      <c r="A9" s="25" t="s">
        <v>70</v>
      </c>
      <c r="B9" s="23" t="s">
        <v>73</v>
      </c>
      <c r="C9" s="24">
        <v>20000</v>
      </c>
      <c r="D9" s="23" t="s">
        <v>76</v>
      </c>
      <c r="F9" s="26" t="s">
        <v>103</v>
      </c>
    </row>
    <row r="10" spans="1:7" ht="19.5" customHeight="1" x14ac:dyDescent="0.25">
      <c r="A10" s="25" t="s">
        <v>71</v>
      </c>
      <c r="B10" s="23" t="s">
        <v>74</v>
      </c>
      <c r="C10" s="24">
        <v>13000</v>
      </c>
      <c r="D10" s="23" t="s">
        <v>76</v>
      </c>
    </row>
    <row r="11" spans="1:7" ht="19.5" customHeight="1" x14ac:dyDescent="0.25">
      <c r="A11" s="25" t="s">
        <v>72</v>
      </c>
      <c r="B11" s="23" t="s">
        <v>75</v>
      </c>
      <c r="C11" s="24">
        <v>1000</v>
      </c>
      <c r="D11" s="23" t="s">
        <v>76</v>
      </c>
    </row>
    <row r="12" spans="1:7" x14ac:dyDescent="0.25">
      <c r="A12" s="25" t="s">
        <v>98</v>
      </c>
      <c r="B12" s="23"/>
      <c r="C12" s="24">
        <v>1500</v>
      </c>
      <c r="D12" s="23" t="s">
        <v>76</v>
      </c>
    </row>
    <row r="16" spans="1:7" x14ac:dyDescent="0.25">
      <c r="A16" s="7" t="s">
        <v>46</v>
      </c>
    </row>
    <row r="17" spans="1:1" x14ac:dyDescent="0.25">
      <c r="A17" s="8" t="s">
        <v>47</v>
      </c>
    </row>
    <row r="18" spans="1:1" x14ac:dyDescent="0.25">
      <c r="A18" s="9" t="s">
        <v>48</v>
      </c>
    </row>
    <row r="19" spans="1:1" x14ac:dyDescent="0.25">
      <c r="A19" s="10" t="s">
        <v>49</v>
      </c>
    </row>
    <row r="21" spans="1:1" x14ac:dyDescent="0.25">
      <c r="A21" s="18" t="s">
        <v>96</v>
      </c>
    </row>
    <row r="22" spans="1:1" x14ac:dyDescent="0.25">
      <c r="A22" s="26" t="s">
        <v>97</v>
      </c>
    </row>
  </sheetData>
  <mergeCells count="1">
    <mergeCell ref="A1:G2"/>
  </mergeCells>
  <phoneticPr fontId="16" type="noConversion"/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showGridLines="0" zoomScaleNormal="100" workbookViewId="0">
      <selection activeCell="F35" sqref="F35"/>
    </sheetView>
  </sheetViews>
  <sheetFormatPr defaultColWidth="8.7109375" defaultRowHeight="15" x14ac:dyDescent="0.25"/>
  <cols>
    <col min="1" max="1" width="91.28515625" bestFit="1" customWidth="1"/>
  </cols>
  <sheetData>
    <row r="1" spans="1:6" ht="34.5" customHeight="1" x14ac:dyDescent="0.25">
      <c r="A1" s="27" t="s">
        <v>50</v>
      </c>
      <c r="B1" s="27"/>
      <c r="C1" s="27"/>
      <c r="D1" s="27"/>
      <c r="E1" s="27"/>
      <c r="F1" s="27"/>
    </row>
    <row r="3" spans="1:6" ht="19.5" customHeight="1" x14ac:dyDescent="0.25">
      <c r="A3" s="11" t="s">
        <v>51</v>
      </c>
    </row>
    <row r="4" spans="1:6" ht="19.5" customHeight="1" x14ac:dyDescent="0.25">
      <c r="A4" s="12" t="s">
        <v>52</v>
      </c>
    </row>
    <row r="5" spans="1:6" ht="19.5" customHeight="1" x14ac:dyDescent="0.25">
      <c r="A5" s="12" t="s">
        <v>53</v>
      </c>
    </row>
    <row r="6" spans="1:6" ht="19.5" customHeight="1" x14ac:dyDescent="0.25">
      <c r="A6" s="12" t="s">
        <v>54</v>
      </c>
    </row>
    <row r="7" spans="1:6" ht="7.5" customHeight="1" x14ac:dyDescent="0.25"/>
    <row r="8" spans="1:6" ht="19.5" customHeight="1" x14ac:dyDescent="0.25">
      <c r="A8" s="11" t="s">
        <v>55</v>
      </c>
    </row>
    <row r="9" spans="1:6" ht="19.5" customHeight="1" x14ac:dyDescent="0.25">
      <c r="A9" s="12" t="s">
        <v>56</v>
      </c>
    </row>
    <row r="10" spans="1:6" ht="19.5" customHeight="1" x14ac:dyDescent="0.25">
      <c r="A10" s="12" t="s">
        <v>57</v>
      </c>
    </row>
    <row r="11" spans="1:6" ht="19.5" customHeight="1" x14ac:dyDescent="0.25">
      <c r="A11" s="14" t="s">
        <v>87</v>
      </c>
    </row>
    <row r="12" spans="1:6" ht="19.5" customHeight="1" x14ac:dyDescent="0.25">
      <c r="A12" s="12" t="s">
        <v>58</v>
      </c>
    </row>
    <row r="13" spans="1:6" ht="19.5" customHeight="1" x14ac:dyDescent="0.25">
      <c r="A13" s="14" t="s">
        <v>88</v>
      </c>
    </row>
    <row r="14" spans="1:6" ht="19.5" customHeight="1" x14ac:dyDescent="0.25">
      <c r="A14" s="14" t="s">
        <v>89</v>
      </c>
    </row>
    <row r="15" spans="1:6" ht="19.5" customHeight="1" x14ac:dyDescent="0.25">
      <c r="A15" s="14" t="s">
        <v>91</v>
      </c>
    </row>
    <row r="16" spans="1:6" ht="19.5" customHeight="1" x14ac:dyDescent="0.25">
      <c r="A16" s="14" t="s">
        <v>90</v>
      </c>
    </row>
    <row r="17" spans="1:1" ht="19.5" customHeight="1" x14ac:dyDescent="0.25">
      <c r="A17" s="12" t="s">
        <v>59</v>
      </c>
    </row>
    <row r="18" spans="1:1" ht="7.5" customHeight="1" x14ac:dyDescent="0.25"/>
    <row r="19" spans="1:1" ht="19.5" customHeight="1" x14ac:dyDescent="0.25">
      <c r="A19" s="11" t="s">
        <v>60</v>
      </c>
    </row>
    <row r="20" spans="1:1" ht="19.5" customHeight="1" x14ac:dyDescent="0.25">
      <c r="A20" s="14" t="s">
        <v>92</v>
      </c>
    </row>
    <row r="21" spans="1:1" ht="19.5" customHeight="1" x14ac:dyDescent="0.25">
      <c r="A21" s="12" t="s">
        <v>61</v>
      </c>
    </row>
    <row r="22" spans="1:1" ht="19.5" customHeight="1" x14ac:dyDescent="0.25">
      <c r="A22" s="14" t="s">
        <v>93</v>
      </c>
    </row>
    <row r="23" spans="1:1" ht="7.5" customHeight="1" x14ac:dyDescent="0.25"/>
    <row r="24" spans="1:1" ht="19.5" customHeight="1" x14ac:dyDescent="0.25">
      <c r="A24" s="11" t="s">
        <v>62</v>
      </c>
    </row>
    <row r="25" spans="1:1" ht="19.5" customHeight="1" x14ac:dyDescent="0.25">
      <c r="A25" s="12" t="s">
        <v>63</v>
      </c>
    </row>
    <row r="26" spans="1:1" ht="19.5" customHeight="1" x14ac:dyDescent="0.25">
      <c r="A26" s="12" t="s">
        <v>64</v>
      </c>
    </row>
    <row r="27" spans="1:1" ht="19.5" customHeight="1" x14ac:dyDescent="0.25">
      <c r="A27" s="14" t="s">
        <v>111</v>
      </c>
    </row>
    <row r="28" spans="1:1" ht="19.5" customHeight="1" x14ac:dyDescent="0.25">
      <c r="A28" s="12" t="s">
        <v>65</v>
      </c>
    </row>
    <row r="29" spans="1:1" ht="19.5" customHeight="1" x14ac:dyDescent="0.25">
      <c r="A29" s="14" t="s">
        <v>112</v>
      </c>
    </row>
    <row r="30" spans="1:1" ht="19.5" customHeight="1" x14ac:dyDescent="0.25">
      <c r="A30" s="14" t="s">
        <v>95</v>
      </c>
    </row>
    <row r="31" spans="1:1" ht="15" customHeight="1" x14ac:dyDescent="0.25"/>
    <row r="32" spans="1:1" ht="19.5" customHeight="1" x14ac:dyDescent="0.25">
      <c r="A32" s="11" t="s">
        <v>66</v>
      </c>
    </row>
    <row r="33" spans="1:1" ht="19.5" customHeight="1" x14ac:dyDescent="0.25">
      <c r="A33" s="14" t="s">
        <v>77</v>
      </c>
    </row>
    <row r="34" spans="1:1" ht="19.5" customHeight="1" x14ac:dyDescent="0.25">
      <c r="A34" s="14" t="s">
        <v>113</v>
      </c>
    </row>
    <row r="35" spans="1:1" ht="19.5" customHeight="1" x14ac:dyDescent="0.25">
      <c r="A35" s="14" t="s">
        <v>78</v>
      </c>
    </row>
    <row r="36" spans="1:1" ht="7.5" customHeight="1" x14ac:dyDescent="0.25"/>
    <row r="37" spans="1:1" ht="19.5" customHeight="1" x14ac:dyDescent="0.25">
      <c r="A37" s="15" t="s">
        <v>79</v>
      </c>
    </row>
    <row r="38" spans="1:1" ht="19.5" customHeight="1" x14ac:dyDescent="0.25">
      <c r="A38" s="14" t="s">
        <v>67</v>
      </c>
    </row>
    <row r="39" spans="1:1" ht="19.5" customHeight="1" x14ac:dyDescent="0.25">
      <c r="A39" s="12" t="s">
        <v>68</v>
      </c>
    </row>
    <row r="40" spans="1:1" ht="19.5" customHeight="1" x14ac:dyDescent="0.25">
      <c r="A40" s="14" t="s">
        <v>69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Dashboard</vt:lpstr>
      <vt:lpstr>Orders Log</vt:lpstr>
      <vt:lpstr>Products &amp; Costs</vt:lpstr>
      <vt:lpstr>How To Use</vt:lpstr>
      <vt:lpstr>PlatformNames</vt:lpstr>
      <vt:lpstr>ProductList</vt:lpstr>
      <vt:lpstr>VariantList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Chew</cp:lastModifiedBy>
  <cp:revision>0</cp:revision>
  <dcterms:created xsi:type="dcterms:W3CDTF">2026-04-19T10:43:16Z</dcterms:created>
  <dcterms:modified xsi:type="dcterms:W3CDTF">2026-04-20T08:08:39Z</dcterms:modified>
  <dc:language>en-US</dc:language>
</cp:coreProperties>
</file>